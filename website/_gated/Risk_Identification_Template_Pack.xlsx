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. Risk Taxonomy" sheetId="2" state="visible" r:id="rId2"/>
    <sheet xmlns:r="http://schemas.openxmlformats.org/officeDocument/2006/relationships" name="2. Reg Mapping" sheetId="3" state="visible" r:id="rId3"/>
    <sheet xmlns:r="http://schemas.openxmlformats.org/officeDocument/2006/relationships" name="3. PESTLE Assessment" sheetId="4" state="visible" r:id="rId4"/>
    <sheet xmlns:r="http://schemas.openxmlformats.org/officeDocument/2006/relationships" name="4. Internal Environment" sheetId="5" state="visible" r:id="rId5"/>
    <sheet xmlns:r="http://schemas.openxmlformats.org/officeDocument/2006/relationships" name="5. Risk Criteria" sheetId="6" state="visible" r:id="rId6"/>
    <sheet xmlns:r="http://schemas.openxmlformats.org/officeDocument/2006/relationships" name="6. Workshop Planner" sheetId="7" state="visible" r:id="rId7"/>
    <sheet xmlns:r="http://schemas.openxmlformats.org/officeDocument/2006/relationships" name="7. SWIFT Prompt Matrix" sheetId="8" state="visible" r:id="rId8"/>
    <sheet xmlns:r="http://schemas.openxmlformats.org/officeDocument/2006/relationships" name="8. Bottom-Up Template" sheetId="9" state="visible" r:id="rId9"/>
    <sheet xmlns:r="http://schemas.openxmlformats.org/officeDocument/2006/relationships" name="9. Pre-Workshop Assessment" sheetId="10" state="visible" r:id="rId10"/>
    <sheet xmlns:r="http://schemas.openxmlformats.org/officeDocument/2006/relationships" name="10. Gap Analysis" sheetId="11" state="visible" r:id="rId11"/>
    <sheet xmlns:r="http://schemas.openxmlformats.org/officeDocument/2006/relationships" name="11. Risk Scoring" sheetId="12" state="visible" r:id="rId12"/>
    <sheet xmlns:r="http://schemas.openxmlformats.org/officeDocument/2006/relationships" name="12. Interaction Matrix" sheetId="13" state="visible" r:id="rId13"/>
    <sheet xmlns:r="http://schemas.openxmlformats.org/officeDocument/2006/relationships" name="13. Bow-Tie Template" sheetId="14" state="visible" r:id="rId14"/>
    <sheet xmlns:r="http://schemas.openxmlformats.org/officeDocument/2006/relationships" name="14. Concentration Analysis" sheetId="15" state="visible" r:id="rId15"/>
    <sheet xmlns:r="http://schemas.openxmlformats.org/officeDocument/2006/relationships" name="15. Risk Inventory" sheetId="16" state="visible" r:id="rId16"/>
    <sheet xmlns:r="http://schemas.openxmlformats.org/officeDocument/2006/relationships" name="16. Risk Profile" sheetId="17" state="visible" r:id="rId17"/>
    <sheet xmlns:r="http://schemas.openxmlformats.org/officeDocument/2006/relationships" name="17. KRI Dashboard" sheetId="18" state="visible" r:id="rId18"/>
    <sheet xmlns:r="http://schemas.openxmlformats.org/officeDocument/2006/relationships" name="18. Principal Risk Report" sheetId="19" state="visible" r:id="rId19"/>
    <sheet xmlns:r="http://schemas.openxmlformats.org/officeDocument/2006/relationships" name="19. Stress Scenario Map" sheetId="20" state="visible" r:id="rId20"/>
    <sheet xmlns:r="http://schemas.openxmlformats.org/officeDocument/2006/relationships" name="20. Reg vs Econ Gap" sheetId="21" state="visible" r:id="rId21"/>
    <sheet xmlns:r="http://schemas.openxmlformats.org/officeDocument/2006/relationships" name="21. Emerging Risks" sheetId="22" state="visible" r:id="rId22"/>
    <sheet xmlns:r="http://schemas.openxmlformats.org/officeDocument/2006/relationships" name="22. Assumption Register" sheetId="23" state="visible" r:id="rId23"/>
    <sheet xmlns:r="http://schemas.openxmlformats.org/officeDocument/2006/relationships" name="23. Disagreement Log" sheetId="24" state="visible" r:id="rId24"/>
    <sheet xmlns:r="http://schemas.openxmlformats.org/officeDocument/2006/relationships" name="24. Event-Driven Triggers" sheetId="25" state="visible" r:id="rId25"/>
    <sheet xmlns:r="http://schemas.openxmlformats.org/officeDocument/2006/relationships" name="25. Process KPIs" sheetId="26" state="visible" r:id="rId26"/>
    <sheet xmlns:r="http://schemas.openxmlformats.org/officeDocument/2006/relationships" name="26. Training Programme" sheetId="27" state="visible" r:id="rId27"/>
    <sheet xmlns:r="http://schemas.openxmlformats.org/officeDocument/2006/relationships" name="27. Audit Programme" sheetId="28" state="visible" r:id="rId28"/>
    <sheet xmlns:r="http://schemas.openxmlformats.org/officeDocument/2006/relationships" name="28. Reg Traceability" sheetId="29" state="visible" r:id="rId29"/>
    <sheet xmlns:r="http://schemas.openxmlformats.org/officeDocument/2006/relationships" name="29. Lessons Learned" sheetId="30" state="visible" r:id="rId30"/>
  </sheets>
  <definedNames>
    <definedName name="_xlnm._FilterDatabase" localSheetId="1" hidden="1">'1. Risk Taxonomy'!$A$5:$G$5</definedName>
    <definedName name="_xlnm.Print_Titles" localSheetId="1">'1. Risk Taxonomy'!$5:$5</definedName>
    <definedName name="_xlnm._FilterDatabase" localSheetId="2" hidden="1">'2. Reg Mapping'!$A$5:$H$5</definedName>
    <definedName name="_xlnm.Print_Titles" localSheetId="2">'2. Reg Mapping'!$5:$5</definedName>
    <definedName name="_xlnm.Print_Titles" localSheetId="3">'3. PESTLE Assessment'!$5:$5</definedName>
    <definedName name="_xlnm._FilterDatabase" localSheetId="4" hidden="1">'4. Internal Environment'!$A$5:$E$5</definedName>
    <definedName name="_xlnm.Print_Titles" localSheetId="4">'4. Internal Environment'!$5:$5</definedName>
    <definedName name="_xlnm.Print_Titles" localSheetId="5">'5. Risk Criteria'!$1:$2</definedName>
    <definedName name="_xlnm.Print_Titles" localSheetId="6">'6. Workshop Planner'!$5:$5</definedName>
    <definedName name="_xlnm.Print_Titles" localSheetId="7">'7. SWIFT Prompt Matrix'!$5:$5</definedName>
    <definedName name="_xlnm._FilterDatabase" localSheetId="8" hidden="1">'8. Bottom-Up Template'!$A$5:$K$5</definedName>
    <definedName name="_xlnm.Print_Titles" localSheetId="8">'8. Bottom-Up Template'!$5:$5</definedName>
    <definedName name="_xlnm.Print_Titles" localSheetId="9">'9. Pre-Workshop Assessment'!$6:$6</definedName>
    <definedName name="_xlnm._FilterDatabase" localSheetId="10" hidden="1">'10. Gap Analysis'!$A$5:$G$5</definedName>
    <definedName name="_xlnm.Print_Titles" localSheetId="10">'10. Gap Analysis'!$5:$5</definedName>
    <definedName name="_xlnm._FilterDatabase" localSheetId="11" hidden="1">'11. Risk Scoring'!$A$5:$N$5</definedName>
    <definedName name="_xlnm.Print_Titles" localSheetId="11">'11. Risk Scoring'!$5:$5</definedName>
    <definedName name="_xlnm.Print_Titles" localSheetId="12">'12. Interaction Matrix'!$5:$5</definedName>
    <definedName name="_xlnm.Print_Titles" localSheetId="13">'13. Bow-Tie Template'!$5:$5</definedName>
    <definedName name="_xlnm._FilterDatabase" localSheetId="14" hidden="1">'14. Concentration Analysis'!$A$5:$F$5</definedName>
    <definedName name="_xlnm.Print_Titles" localSheetId="14">'14. Concentration Analysis'!$5:$5</definedName>
    <definedName name="_xlnm._FilterDatabase" localSheetId="15" hidden="1">'15. Risk Inventory'!$A$5:$N$5</definedName>
    <definedName name="_xlnm.Print_Titles" localSheetId="15">'15. Risk Inventory'!$5:$5</definedName>
    <definedName name="_xlnm._FilterDatabase" localSheetId="17" hidden="1">'17. KRI Dashboard'!$A$4:$I$4</definedName>
    <definedName name="_xlnm.Print_Titles" localSheetId="17">'17. KRI Dashboard'!$4:$4</definedName>
    <definedName name="_xlnm._FilterDatabase" localSheetId="18" hidden="1">'18. Principal Risk Report'!$A$5:$J$5</definedName>
    <definedName name="_xlnm.Print_Titles" localSheetId="18">'18. Principal Risk Report'!$5:$5</definedName>
    <definedName name="_xlnm._FilterDatabase" localSheetId="19" hidden="1">'19. Stress Scenario Map'!$A$4:$F$4</definedName>
    <definedName name="_xlnm.Print_Titles" localSheetId="19">'19. Stress Scenario Map'!$4:$4</definedName>
    <definedName name="_xlnm._FilterDatabase" localSheetId="20" hidden="1">'20. Reg vs Econ Gap'!$A$4:$F$4</definedName>
    <definedName name="_xlnm.Print_Titles" localSheetId="20">'20. Reg vs Econ Gap'!$4:$4</definedName>
    <definedName name="_xlnm._FilterDatabase" localSheetId="21" hidden="1">'21. Emerging Risks'!$A$4:$G$4</definedName>
    <definedName name="_xlnm.Print_Titles" localSheetId="21">'21. Emerging Risks'!$4:$4</definedName>
    <definedName name="_xlnm._FilterDatabase" localSheetId="22" hidden="1">'22. Assumption Register'!$A$4:$F$4</definedName>
    <definedName name="_xlnm.Print_Titles" localSheetId="22">'22. Assumption Register'!$4:$4</definedName>
    <definedName name="_xlnm._FilterDatabase" localSheetId="23" hidden="1">'23. Disagreement Log'!$A$4:$F$4</definedName>
    <definedName name="_xlnm.Print_Titles" localSheetId="23">'23. Disagreement Log'!$4:$4</definedName>
    <definedName name="_xlnm.Print_Titles" localSheetId="24">'24. Event-Driven Triggers'!$4:$4</definedName>
    <definedName name="_xlnm.Print_Titles" localSheetId="25">'25. Process KPIs'!$4:$4</definedName>
    <definedName name="_xlnm.Print_Titles" localSheetId="26">'26. Training Programme'!$4:$4</definedName>
    <definedName name="_xlnm.Print_Titles" localSheetId="27">'27. Audit Programme'!$4:$4</definedName>
    <definedName name="_xlnm.Print_Titles" localSheetId="28">'28. Reg Traceability'!$4:$4</definedName>
    <definedName name="_xlnm._FilterDatabase" localSheetId="29" hidden="1">'29. Lessons Learned'!$A$4:$F$4</definedName>
    <definedName name="_xlnm.Print_Titles" localSheetId="29">'29. Lessons Learned'!$4:$4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3">
    <font>
      <name val="Calibri"/>
      <family val="2"/>
      <color theme="1"/>
      <sz val="11"/>
      <scheme val="minor"/>
    </font>
    <font>
      <name val="Calibri"/>
      <b val="1"/>
      <color rgb="001B2A4A"/>
      <sz val="28"/>
    </font>
    <font>
      <name val="Calibri"/>
      <color rgb="00C5A55A"/>
      <sz val="16"/>
    </font>
    <font>
      <name val="Calibri"/>
      <color rgb="002A7F7F"/>
      <sz val="12"/>
    </font>
    <font>
      <name val="Calibri"/>
      <color rgb="002A7F7F"/>
      <sz val="10"/>
      <u val="single"/>
    </font>
    <font>
      <name val="Calibri"/>
      <color rgb="00666666"/>
      <sz val="10"/>
    </font>
    <font>
      <name val="Calibri"/>
      <color rgb="00333333"/>
      <sz val="10"/>
    </font>
    <font>
      <name val="Calibri"/>
      <b val="1"/>
      <color rgb="001B2A4A"/>
      <sz val="11"/>
    </font>
    <font>
      <name val="Calibri"/>
      <color rgb="001B2A4A"/>
      <sz val="10"/>
    </font>
    <font>
      <name val="Calibri"/>
      <color rgb="00C5A55A"/>
      <sz val="10"/>
    </font>
    <font>
      <name val="Calibri"/>
      <color rgb="002A7F7F"/>
      <sz val="10"/>
    </font>
    <font>
      <name val="Calibri"/>
      <color rgb="002D8B2D"/>
      <sz val="10"/>
    </font>
    <font>
      <name val="Calibri"/>
      <b val="1"/>
      <color rgb="002A7F7F"/>
      <sz val="11"/>
    </font>
    <font>
      <name val="Calibri"/>
      <color rgb="00666666"/>
      <sz val="9"/>
    </font>
    <font>
      <name val="Calibri"/>
      <b val="1"/>
      <color rgb="001B2A4A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i val="1"/>
      <color rgb="00333333"/>
      <sz val="10"/>
    </font>
    <font>
      <name val="Calibri"/>
      <b val="1"/>
      <color rgb="002A7F7F"/>
      <sz val="10"/>
    </font>
    <font>
      <name val="Calibri"/>
      <b val="1"/>
      <color rgb="002A7F7F"/>
      <sz val="12"/>
    </font>
    <font>
      <name val="Calibri"/>
      <b val="1"/>
      <color rgb="001B2A4A"/>
      <sz val="10"/>
    </font>
    <font>
      <name val="Calibri"/>
      <b val="1"/>
      <sz val="10"/>
    </font>
    <font>
      <color rgb="00666666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5EDD8"/>
      </patternFill>
    </fill>
    <fill>
      <patternFill patternType="solid">
        <fgColor rgb="00D4ECEC"/>
      </patternFill>
    </fill>
    <fill>
      <patternFill patternType="solid">
        <fgColor rgb="00FFFFFF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6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2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vertical="top" wrapText="1"/>
    </xf>
    <xf numFmtId="0" fontId="18" fillId="4" borderId="0" pivotButton="0" quotePrefix="0" xfId="0"/>
    <xf numFmtId="0" fontId="0" fillId="4" borderId="0" pivotButton="0" quotePrefix="0" xfId="0"/>
    <xf numFmtId="0" fontId="0" fillId="0" borderId="1" applyAlignment="1" pivotButton="0" quotePrefix="0" xfId="0">
      <alignment vertical="top" wrapText="1"/>
    </xf>
    <xf numFmtId="0" fontId="19" fillId="0" borderId="0" pivotButton="0" quotePrefix="0" xfId="0"/>
    <xf numFmtId="0" fontId="6" fillId="5" borderId="1" applyAlignment="1" pivotButton="0" quotePrefix="0" xfId="0">
      <alignment vertical="top" wrapText="1"/>
    </xf>
    <xf numFmtId="0" fontId="20" fillId="4" borderId="1" pivotButton="0" quotePrefix="0" xfId="0"/>
    <xf numFmtId="0" fontId="0" fillId="3" borderId="1" pivotButton="0" quotePrefix="0" xfId="0"/>
    <xf numFmtId="0" fontId="20" fillId="0" borderId="0" pivotButton="0" quotePrefix="0" xfId="0"/>
    <xf numFmtId="0" fontId="6" fillId="3" borderId="1" pivotButton="0" quotePrefix="0" xfId="0"/>
    <xf numFmtId="0" fontId="17" fillId="3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17" fillId="3" borderId="0" pivotButton="0" quotePrefix="0" xfId="0"/>
    <xf numFmtId="0" fontId="20" fillId="4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dxfs count="11">
    <dxf>
      <font>
        <b val="1"/>
        <color rgb="00FFFFFF"/>
      </font>
      <fill>
        <patternFill patternType="solid">
          <fgColor rgb="00EA4335"/>
        </patternFill>
      </fill>
    </dxf>
    <dxf>
      <font>
        <b val="1"/>
        <color rgb="00333333"/>
      </font>
      <fill>
        <patternFill patternType="solid">
          <fgColor rgb="00FBBC04"/>
        </patternFill>
      </fill>
    </dxf>
    <dxf>
      <font>
        <color rgb="00333333"/>
      </font>
      <fill>
        <patternFill patternType="solid">
          <fgColor rgb="00FDE293"/>
        </patternFill>
      </fill>
    </dxf>
    <dxf>
      <font>
        <color rgb="00333333"/>
      </font>
      <fill>
        <patternFill patternType="solid">
          <fgColor rgb="00B7E1CD"/>
        </patternFill>
      </fill>
    </dxf>
    <dxf>
      <font>
        <color rgb="00FFFFFF"/>
      </font>
      <fill>
        <patternFill patternType="solid">
          <fgColor rgb="0057BB8A"/>
        </patternFill>
      </fill>
    </dxf>
    <dxf>
      <font>
        <color rgb="00333333"/>
      </font>
      <fill>
        <patternFill patternType="solid">
          <fgColor rgb="00FBBC04"/>
        </patternFill>
      </fill>
    </dxf>
    <dxf>
      <font>
        <color rgb="00FFFFFF"/>
      </font>
      <fill>
        <patternFill patternType="solid">
          <fgColor rgb="00EA4335"/>
        </patternFill>
      </fill>
    </dxf>
    <dxf>
      <font>
        <color rgb="00FFFFFF"/>
      </font>
      <fill>
        <patternFill patternType="solid">
          <fgColor rgb="009900FF"/>
        </patternFill>
      </fill>
    </dxf>
    <dxf>
      <font>
        <b val="1"/>
        <color rgb="00333333"/>
      </font>
      <fill>
        <patternFill patternType="solid">
          <fgColor rgb="00B7E1CD"/>
        </patternFill>
      </fill>
    </dxf>
    <dxf>
      <font>
        <b val="1"/>
        <color rgb="00FFFFFF"/>
      </font>
      <fill>
        <patternFill patternType="solid">
          <fgColor rgb="0057BB8A"/>
        </patternFill>
      </fill>
    </dxf>
    <dxf>
      <font>
        <color rgb="00666666"/>
      </font>
      <fill>
        <patternFill patternType="solid">
          <fgColor rgb="00E8E8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 fitToPage="1"/>
  </sheetPr>
  <dimension ref="A2:A29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40" customHeight="1"/>
    <row r="2" ht="36" customHeight="1">
      <c r="A2" s="1" t="inlineStr">
        <is>
          <t>BANK RISK IDENTIFICATION</t>
        </is>
      </c>
    </row>
    <row r="3" ht="24" customHeight="1">
      <c r="A3" s="2" t="inlineStr">
        <is>
          <t>The Complete Methodology — Template Pack</t>
        </is>
      </c>
    </row>
    <row r="4" ht="8" customHeight="1"/>
    <row r="5">
      <c r="A5" s="3" t="inlineStr">
        <is>
          <t>EON Risk Services Ltd</t>
        </is>
      </c>
    </row>
    <row r="6">
      <c r="A6" s="4" t="inlineStr">
        <is>
          <t>www.eonriskservices.com</t>
        </is>
      </c>
    </row>
    <row r="7" ht="6" customHeight="1"/>
    <row r="8">
      <c r="A8" s="5" t="inlineStr">
        <is>
          <t>Version 1.0  •  February 2026</t>
        </is>
      </c>
    </row>
    <row r="9" ht="20" customHeight="1"/>
    <row r="10" ht="48" customHeight="1">
      <c r="A10" s="6" t="inlineStr">
        <is>
          <t>This workbook contains 29 structured templates covering every phase of the EON Risk Identification Methodology. Each tab corresponds to a key artifact described in the book "Bank Risk Identification: The Complete Methodology".</t>
        </is>
      </c>
    </row>
    <row r="11" ht="12" customHeight="1"/>
    <row r="12">
      <c r="A12" s="7" t="inlineStr">
        <is>
          <t>TAB COLOUR GUIDE</t>
        </is>
      </c>
    </row>
    <row r="13" ht="20" customHeight="1">
      <c r="A13" s="8" t="inlineStr">
        <is>
          <t>■  Navy tabs (1–5): Foundation — Phase 1: Taxonomy, regulatory mapping, context setting, risk criteria</t>
        </is>
      </c>
    </row>
    <row r="14" ht="20" customHeight="1">
      <c r="A14" s="9" t="inlineStr">
        <is>
          <t>■  Gold tabs (6–9): Identification — Phase 2: Workshops, SWIFT prompts, bottom-up templates, pre-assessment</t>
        </is>
      </c>
    </row>
    <row r="15" ht="20" customHeight="1">
      <c r="A15" s="10" t="inlineStr">
        <is>
          <t>■  Teal tabs (10–14): Reconciliation &amp; Assessment — Phases 3–4: Gap analysis, scoring, interaction, bow-tie, concentration</t>
        </is>
      </c>
    </row>
    <row r="16" ht="20" customHeight="1">
      <c r="A16" s="5" t="inlineStr">
        <is>
          <t>■  Grey tabs (15–20): Documentation &amp; Integration — Phases 5–6: Inventory, profiles, KRIs, board reporting, stress testing, capital</t>
        </is>
      </c>
    </row>
    <row r="17" ht="20" customHeight="1">
      <c r="A17" s="11" t="inlineStr">
        <is>
          <t>■  Green tabs (21–29): Ongoing Cycle &amp; Regulatory — Emerging risks, registers, triggers, KPIs, training, audit, traceability</t>
        </is>
      </c>
    </row>
    <row r="18" ht="12" customHeight="1"/>
    <row r="19">
      <c r="A19" s="12" t="inlineStr">
        <is>
          <t>HOW TO USE THIS WORKBOOK</t>
        </is>
      </c>
    </row>
    <row r="20" ht="18" customHeight="1">
      <c r="A20" s="13" t="inlineStr">
        <is>
          <t>1. Each template is pre-structured with the fields described in the book.</t>
        </is>
      </c>
    </row>
    <row r="21" ht="18" customHeight="1">
      <c r="A21" s="13" t="inlineStr">
        <is>
          <t>2. Yellow-highlighted cells are for your input. Grey cells contain formulas or fixed structure.</t>
        </is>
      </c>
    </row>
    <row r="22" ht="18" customHeight="1">
      <c r="A22" s="13" t="inlineStr">
        <is>
          <t>3. Dropdown lists are pre-configured — click any input cell to see available options.</t>
        </is>
      </c>
    </row>
    <row r="23" ht="18" customHeight="1">
      <c r="A23" s="13" t="inlineStr">
        <is>
          <t>4. Example data (in italics) shows what a completed entry looks like. Replace with your own.</t>
        </is>
      </c>
    </row>
    <row r="24" ht="18" customHeight="1">
      <c r="A24" s="13" t="inlineStr">
        <is>
          <t>5. Start with tabs 1–5 (Foundation), then work through Identification, Reconciliation, and so on.</t>
        </is>
      </c>
    </row>
    <row r="25" ht="18" customHeight="1">
      <c r="A25" s="13" t="inlineStr">
        <is>
          <t>6. The Risk Inventory (tab 15) is the master register — all other tabs feed into it.</t>
        </is>
      </c>
    </row>
    <row r="26" ht="18" customHeight="1">
      <c r="A26" s="13" t="inlineStr">
        <is>
          <t>7. Print setup is pre-configured for landscape A4. Headers repeat on every page.</t>
        </is>
      </c>
    </row>
    <row r="27" ht="20" customHeight="1"/>
    <row r="28">
      <c r="A28" s="14" t="inlineStr">
        <is>
          <t>© 2026 EON Risk Services Ltd. All rights reserved.</t>
        </is>
      </c>
    </row>
    <row r="29">
      <c r="A29" s="14" t="inlineStr">
        <is>
          <t>This template pack is provided under the terms of the EON Risk Services Toolkit licence.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B2A4A"/>
    <outlinePr summaryBelow="1" summaryRight="1"/>
    <pageSetUpPr fitToPage="1"/>
  </sheetPr>
  <dimension ref="A1:G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30" customWidth="1" min="4" max="4"/>
    <col width="50" customWidth="1" min="5" max="5"/>
    <col width="20" customWidth="1" min="6" max="6"/>
    <col width="25" customWidth="1" min="7" max="7"/>
  </cols>
  <sheetData>
    <row r="1">
      <c r="A1" s="15" t="inlineStr">
        <is>
          <t>Risk Taxonomy (L1 / L2 / L3)</t>
        </is>
      </c>
    </row>
    <row r="2">
      <c r="A2" s="16" t="inlineStr">
        <is>
          <t>Book Reference: Chapter 4 — The Risk Taxonomy</t>
        </is>
      </c>
    </row>
    <row r="3">
      <c r="A3" s="14" t="inlineStr">
        <is>
          <t>Define your institution's three-level risk classification. Populate L1 categories first, then decompose into L2 and L3.</t>
        </is>
      </c>
    </row>
    <row r="5">
      <c r="A5" s="17" t="inlineStr">
        <is>
          <t>#</t>
        </is>
      </c>
      <c r="B5" s="17" t="inlineStr">
        <is>
          <t>L1 Category</t>
        </is>
      </c>
      <c r="C5" s="17" t="inlineStr">
        <is>
          <t>L2 Sub-Category</t>
        </is>
      </c>
      <c r="D5" s="17" t="inlineStr">
        <is>
          <t>L3 Granular Risk</t>
        </is>
      </c>
      <c r="E5" s="17" t="inlineStr">
        <is>
          <t>Definition</t>
        </is>
      </c>
      <c r="F5" s="17" t="inlineStr">
        <is>
          <t>COSO Objective</t>
        </is>
      </c>
      <c r="G5" s="17" t="inlineStr">
        <is>
          <t>Regulatory Mapping</t>
        </is>
      </c>
    </row>
    <row r="6">
      <c r="A6" s="18" t="n">
        <v>1</v>
      </c>
      <c r="B6" s="18" t="inlineStr">
        <is>
          <t>Credit Risk</t>
        </is>
      </c>
      <c r="C6" s="18" t="inlineStr">
        <is>
          <t>Counterparty Credit Risk</t>
        </is>
      </c>
      <c r="D6" s="18" t="inlineStr">
        <is>
          <t>Single-Name Concentration</t>
        </is>
      </c>
      <c r="E6" s="18" t="inlineStr">
        <is>
          <t>Risk of loss from excessive exposure to a single counterparty or group of connected counterparties</t>
        </is>
      </c>
      <c r="F6" s="18" t="inlineStr">
        <is>
          <t>Operations</t>
        </is>
      </c>
      <c r="G6" s="18" t="inlineStr">
        <is>
          <t>CRR Art. 395–403</t>
        </is>
      </c>
    </row>
    <row r="7">
      <c r="A7" s="18" t="n">
        <v>2</v>
      </c>
      <c r="B7" s="18" t="inlineStr">
        <is>
          <t>Credit Risk</t>
        </is>
      </c>
      <c r="C7" s="18" t="inlineStr">
        <is>
          <t>Counterparty Credit Risk</t>
        </is>
      </c>
      <c r="D7" s="18" t="inlineStr">
        <is>
          <t>Wrong-Way Risk</t>
        </is>
      </c>
      <c r="E7" s="18" t="inlineStr">
        <is>
          <t>Risk that exposure increases when counterparty credit quality deteriorates</t>
        </is>
      </c>
      <c r="F7" s="18" t="inlineStr">
        <is>
          <t>Operations</t>
        </is>
      </c>
      <c r="G7" s="18" t="inlineStr">
        <is>
          <t>CRR Art. 291</t>
        </is>
      </c>
    </row>
    <row r="8">
      <c r="A8" s="18" t="n">
        <v>3</v>
      </c>
      <c r="B8" s="18" t="inlineStr">
        <is>
          <t>Credit Risk</t>
        </is>
      </c>
      <c r="C8" s="18" t="inlineStr">
        <is>
          <t>Country/Transfer Risk</t>
        </is>
      </c>
      <c r="D8" s="18" t="inlineStr">
        <is>
          <t>Sovereign Default</t>
        </is>
      </c>
      <c r="E8" s="18" t="inlineStr">
        <is>
          <t>Risk of loss from sovereign inability or unwillingness to honour obligations</t>
        </is>
      </c>
      <c r="F8" s="18" t="inlineStr">
        <is>
          <t>Strategic</t>
        </is>
      </c>
      <c r="G8" s="18" t="inlineStr">
        <is>
          <t>EBA GL/2017/16</t>
        </is>
      </c>
    </row>
    <row r="9">
      <c r="A9" s="18" t="n">
        <v>4</v>
      </c>
      <c r="B9" s="18" t="inlineStr">
        <is>
          <t>Credit Risk</t>
        </is>
      </c>
      <c r="C9" s="18" t="inlineStr">
        <is>
          <t>Credit Concentration</t>
        </is>
      </c>
      <c r="D9" s="18" t="inlineStr">
        <is>
          <t>Sectoral Concentration</t>
        </is>
      </c>
      <c r="E9" s="18" t="inlineStr">
        <is>
          <t>Risk of loss from excessive exposure to a single economic sector</t>
        </is>
      </c>
      <c r="F9" s="18" t="inlineStr">
        <is>
          <t>Operations</t>
        </is>
      </c>
      <c r="G9" s="18" t="inlineStr">
        <is>
          <t>CRR Art. 395–403</t>
        </is>
      </c>
    </row>
    <row r="10">
      <c r="A10" s="18" t="n">
        <v>5</v>
      </c>
      <c r="B10" s="18" t="inlineStr">
        <is>
          <t>Market Risk</t>
        </is>
      </c>
      <c r="C10" s="18" t="inlineStr">
        <is>
          <t>Interest Rate Risk</t>
        </is>
      </c>
      <c r="D10" s="18" t="inlineStr">
        <is>
          <t>Yield Curve Risk</t>
        </is>
      </c>
      <c r="E10" s="18" t="inlineStr">
        <is>
          <t>Risk of loss from non-parallel shifts in the yield curve</t>
        </is>
      </c>
      <c r="F10" s="18" t="inlineStr">
        <is>
          <t>Operations</t>
        </is>
      </c>
      <c r="G10" s="18" t="inlineStr">
        <is>
          <t>CRR Art. 325–377</t>
        </is>
      </c>
    </row>
    <row r="11">
      <c r="A11" s="18" t="n">
        <v>6</v>
      </c>
      <c r="B11" s="18" t="inlineStr">
        <is>
          <t>Market Risk</t>
        </is>
      </c>
      <c r="C11" s="18" t="inlineStr">
        <is>
          <t>FX Risk</t>
        </is>
      </c>
      <c r="D11" s="18" t="inlineStr">
        <is>
          <t>Translation Risk</t>
        </is>
      </c>
      <c r="E11" s="18" t="inlineStr">
        <is>
          <t>Risk of loss from converting foreign currency positions to reporting currency</t>
        </is>
      </c>
      <c r="F11" s="18" t="inlineStr">
        <is>
          <t>Reporting</t>
        </is>
      </c>
      <c r="G11" s="18" t="inlineStr">
        <is>
          <t>IAS 21</t>
        </is>
      </c>
    </row>
    <row r="12">
      <c r="A12" s="18" t="n">
        <v>7</v>
      </c>
      <c r="B12" s="18" t="inlineStr">
        <is>
          <t>Market Risk</t>
        </is>
      </c>
      <c r="C12" s="18" t="inlineStr">
        <is>
          <t>Equity Risk</t>
        </is>
      </c>
      <c r="D12" s="18" t="inlineStr">
        <is>
          <t>Concentrated Equity Position</t>
        </is>
      </c>
      <c r="E12" s="18" t="inlineStr">
        <is>
          <t>Risk of loss from large single-stock or correlated equity holdings</t>
        </is>
      </c>
      <c r="F12" s="18" t="inlineStr">
        <is>
          <t>Operations</t>
        </is>
      </c>
      <c r="G12" s="18" t="inlineStr">
        <is>
          <t>CRR Art. 325–377</t>
        </is>
      </c>
    </row>
    <row r="13">
      <c r="A13" s="18" t="n">
        <v>8</v>
      </c>
      <c r="B13" s="18" t="inlineStr">
        <is>
          <t>Operational Risk</t>
        </is>
      </c>
      <c r="C13" s="18" t="inlineStr">
        <is>
          <t>People Risk</t>
        </is>
      </c>
      <c r="D13" s="18" t="inlineStr">
        <is>
          <t>Key Person Dependency</t>
        </is>
      </c>
      <c r="E13" s="18" t="inlineStr">
        <is>
          <t>Risk of loss from over-reliance on individuals with critical knowledge or skills</t>
        </is>
      </c>
      <c r="F13" s="18" t="inlineStr">
        <is>
          <t>Operations</t>
        </is>
      </c>
      <c r="G13" s="18" t="inlineStr">
        <is>
          <t>BCBS Principles</t>
        </is>
      </c>
    </row>
    <row r="14">
      <c r="A14" s="18" t="n">
        <v>9</v>
      </c>
      <c r="B14" s="18" t="inlineStr">
        <is>
          <t>Operational Risk</t>
        </is>
      </c>
      <c r="C14" s="18" t="inlineStr">
        <is>
          <t>Technology Risk</t>
        </is>
      </c>
      <c r="D14" s="18" t="inlineStr">
        <is>
          <t>Cyber Attack</t>
        </is>
      </c>
      <c r="E14" s="18" t="inlineStr">
        <is>
          <t>Risk of loss from malicious intrusion into technology systems</t>
        </is>
      </c>
      <c r="F14" s="18" t="inlineStr">
        <is>
          <t>Operations</t>
        </is>
      </c>
      <c r="G14" s="18" t="inlineStr">
        <is>
          <t>DORA Art. 5–16</t>
        </is>
      </c>
    </row>
    <row r="15">
      <c r="A15" s="18" t="n">
        <v>10</v>
      </c>
      <c r="B15" s="18" t="inlineStr">
        <is>
          <t>Operational Risk</t>
        </is>
      </c>
      <c r="C15" s="18" t="inlineStr">
        <is>
          <t>Process Risk</t>
        </is>
      </c>
      <c r="D15" s="18" t="inlineStr">
        <is>
          <t>Trade Settlement Failure</t>
        </is>
      </c>
      <c r="E15" s="18" t="inlineStr">
        <is>
          <t>Risk of loss from failed or delayed settlement of financial transactions</t>
        </is>
      </c>
      <c r="F15" s="18" t="inlineStr">
        <is>
          <t>Operations</t>
        </is>
      </c>
      <c r="G15" s="18" t="inlineStr">
        <is>
          <t>CSDR</t>
        </is>
      </c>
    </row>
    <row r="16">
      <c r="A16" s="18" t="n">
        <v>11</v>
      </c>
      <c r="B16" s="18" t="inlineStr">
        <is>
          <t>Liquidity Risk</t>
        </is>
      </c>
      <c r="C16" s="18" t="inlineStr">
        <is>
          <t>Funding Risk</t>
        </is>
      </c>
      <c r="D16" s="18" t="inlineStr">
        <is>
          <t>Wholesale Funding Concentration</t>
        </is>
      </c>
      <c r="E16" s="18" t="inlineStr">
        <is>
          <t>Risk from over-reliance on short-term wholesale funding sources</t>
        </is>
      </c>
      <c r="F16" s="18" t="inlineStr">
        <is>
          <t>Strategic</t>
        </is>
      </c>
      <c r="G16" s="18" t="inlineStr">
        <is>
          <t>CRR Art. 411–428</t>
        </is>
      </c>
    </row>
    <row r="17">
      <c r="A17" s="18" t="n">
        <v>12</v>
      </c>
      <c r="B17" s="18" t="inlineStr">
        <is>
          <t>Liquidity Risk</t>
        </is>
      </c>
      <c r="C17" s="18" t="inlineStr">
        <is>
          <t>Market Liquidity Risk</t>
        </is>
      </c>
      <c r="D17" s="18" t="inlineStr">
        <is>
          <t>Asset Fire-Sale Risk</t>
        </is>
      </c>
      <c r="E17" s="18" t="inlineStr">
        <is>
          <t>Risk of loss from forced liquidation of assets at below-market prices</t>
        </is>
      </c>
      <c r="F17" s="18" t="inlineStr">
        <is>
          <t>Operations</t>
        </is>
      </c>
      <c r="G17" s="18" t="inlineStr">
        <is>
          <t>CRR Art. 411–428</t>
        </is>
      </c>
    </row>
    <row r="18">
      <c r="A18" s="18" t="n">
        <v>13</v>
      </c>
      <c r="B18" s="18" t="inlineStr">
        <is>
          <t>Strategic Risk</t>
        </is>
      </c>
      <c r="C18" s="18" t="inlineStr">
        <is>
          <t>Business Model Risk</t>
        </is>
      </c>
      <c r="D18" s="18" t="inlineStr">
        <is>
          <t>Revenue Concentration</t>
        </is>
      </c>
      <c r="E18" s="18" t="inlineStr">
        <is>
          <t>Risk from over-dependence on a single product, market, or client segment</t>
        </is>
      </c>
      <c r="F18" s="18" t="inlineStr">
        <is>
          <t>Strategic</t>
        </is>
      </c>
      <c r="G18" s="18" t="inlineStr">
        <is>
          <t>PRA SS31/15</t>
        </is>
      </c>
    </row>
    <row r="19">
      <c r="A19" s="18" t="n">
        <v>14</v>
      </c>
      <c r="B19" s="18" t="inlineStr">
        <is>
          <t>Conduct Risk</t>
        </is>
      </c>
      <c r="C19" s="18" t="inlineStr">
        <is>
          <t>Sales Practices</t>
        </is>
      </c>
      <c r="D19" s="18" t="inlineStr">
        <is>
          <t>Mis-Selling</t>
        </is>
      </c>
      <c r="E19" s="18" t="inlineStr">
        <is>
          <t>Risk of loss from sale of unsuitable products to customers</t>
        </is>
      </c>
      <c r="F19" s="18" t="inlineStr">
        <is>
          <t>Compliance</t>
        </is>
      </c>
      <c r="G19" s="18" t="inlineStr">
        <is>
          <t>FCA PRIN</t>
        </is>
      </c>
    </row>
    <row r="20">
      <c r="A20" s="18" t="n">
        <v>15</v>
      </c>
      <c r="B20" s="18" t="inlineStr">
        <is>
          <t>Compliance Risk</t>
        </is>
      </c>
      <c r="C20" s="18" t="inlineStr">
        <is>
          <t>AML/CFT</t>
        </is>
      </c>
      <c r="D20" s="18" t="inlineStr">
        <is>
          <t>Sanctions Breach</t>
        </is>
      </c>
      <c r="E20" s="18" t="inlineStr">
        <is>
          <t>Risk of processing transactions that violate sanctions regimes</t>
        </is>
      </c>
      <c r="F20" s="18" t="inlineStr">
        <is>
          <t>Compliance</t>
        </is>
      </c>
      <c r="G20" s="18" t="inlineStr">
        <is>
          <t>EU AMLD6</t>
        </is>
      </c>
    </row>
    <row r="21">
      <c r="A21" s="13" t="n">
        <v>16</v>
      </c>
    </row>
    <row r="22">
      <c r="A22" s="13" t="n">
        <v>17</v>
      </c>
    </row>
    <row r="23">
      <c r="A23" s="13" t="n">
        <v>18</v>
      </c>
    </row>
    <row r="24">
      <c r="A24" s="13" t="n">
        <v>19</v>
      </c>
    </row>
    <row r="25">
      <c r="A25" s="13" t="n">
        <v>20</v>
      </c>
    </row>
    <row r="26">
      <c r="A26" s="13" t="n">
        <v>21</v>
      </c>
    </row>
    <row r="27">
      <c r="A27" s="13" t="n">
        <v>22</v>
      </c>
    </row>
    <row r="28">
      <c r="A28" s="13" t="n">
        <v>23</v>
      </c>
    </row>
    <row r="29">
      <c r="A29" s="13" t="n">
        <v>24</v>
      </c>
    </row>
    <row r="30">
      <c r="A30" s="13" t="n">
        <v>25</v>
      </c>
    </row>
    <row r="31">
      <c r="A31" s="13" t="n">
        <v>26</v>
      </c>
    </row>
    <row r="32">
      <c r="A32" s="13" t="n">
        <v>27</v>
      </c>
    </row>
    <row r="33">
      <c r="A33" s="13" t="n">
        <v>28</v>
      </c>
    </row>
    <row r="34">
      <c r="A34" s="13" t="n">
        <v>29</v>
      </c>
    </row>
    <row r="35">
      <c r="A35" s="13" t="n">
        <v>30</v>
      </c>
    </row>
    <row r="36">
      <c r="A36" s="13" t="n">
        <v>31</v>
      </c>
    </row>
    <row r="37">
      <c r="A37" s="13" t="n">
        <v>32</v>
      </c>
    </row>
    <row r="38">
      <c r="A38" s="13" t="n">
        <v>33</v>
      </c>
    </row>
    <row r="39">
      <c r="A39" s="13" t="n">
        <v>34</v>
      </c>
    </row>
    <row r="40">
      <c r="A40" s="13" t="n">
        <v>35</v>
      </c>
    </row>
    <row r="41">
      <c r="A41" s="13" t="n">
        <v>36</v>
      </c>
    </row>
    <row r="42">
      <c r="A42" s="13" t="n">
        <v>37</v>
      </c>
    </row>
    <row r="43">
      <c r="A43" s="13" t="n">
        <v>38</v>
      </c>
    </row>
    <row r="44">
      <c r="A44" s="13" t="n">
        <v>39</v>
      </c>
    </row>
    <row r="45">
      <c r="A45" s="13" t="n">
        <v>40</v>
      </c>
    </row>
    <row r="46">
      <c r="A46" s="13" t="n">
        <v>41</v>
      </c>
    </row>
    <row r="47">
      <c r="A47" s="13" t="n">
        <v>42</v>
      </c>
    </row>
    <row r="48">
      <c r="A48" s="13" t="n">
        <v>43</v>
      </c>
    </row>
    <row r="49">
      <c r="A49" s="13" t="n">
        <v>44</v>
      </c>
    </row>
    <row r="50">
      <c r="A50" s="13" t="n">
        <v>45</v>
      </c>
    </row>
    <row r="51">
      <c r="A51" s="13" t="n">
        <v>46</v>
      </c>
    </row>
    <row r="52">
      <c r="A52" s="13" t="n">
        <v>47</v>
      </c>
    </row>
    <row r="53">
      <c r="A53" s="13" t="n">
        <v>48</v>
      </c>
    </row>
    <row r="54">
      <c r="A54" s="13" t="n">
        <v>49</v>
      </c>
    </row>
    <row r="55">
      <c r="A55" s="13" t="n">
        <v>50</v>
      </c>
    </row>
  </sheetData>
  <autoFilter ref="A5:G5"/>
  <dataValidations count="1">
    <dataValidation sqref="F6:F200" showDropDown="0" showInputMessage="0" showErrorMessage="0" allowBlank="1" errorTitle="Invalid Entry" error="Please select from the list" type="list">
      <formula1>"Strategic,Operations,Reporting,Compliance"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B2A4A"/>
    <outlinePr summaryBelow="1" summaryRight="1"/>
    <pageSetUpPr fitToPage="1"/>
  </sheetPr>
  <dimension ref="A1:H15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5" customWidth="1" min="8" max="8"/>
  </cols>
  <sheetData>
    <row r="1">
      <c r="A1" s="15" t="inlineStr">
        <is>
          <t>Regulatory Mapping Table</t>
        </is>
      </c>
    </row>
    <row r="2">
      <c r="A2" s="16" t="inlineStr">
        <is>
          <t>Book Reference: Chapter 4, 15 — Maps taxonomy to each regulatory framework</t>
        </is>
      </c>
    </row>
    <row r="3">
      <c r="A3" s="14" t="inlineStr">
        <is>
          <t>For each L1/L2 taxonomy node, record the corresponding category in each regulator's framework.</t>
        </is>
      </c>
    </row>
    <row r="5">
      <c r="A5" s="17" t="inlineStr">
        <is>
          <t>L1 Category</t>
        </is>
      </c>
      <c r="B5" s="17" t="inlineStr">
        <is>
          <t>L2 Sub-Category</t>
        </is>
      </c>
      <c r="C5" s="17" t="inlineStr">
        <is>
          <t>PRA (UK)</t>
        </is>
      </c>
      <c r="D5" s="17" t="inlineStr">
        <is>
          <t>Fed / OCC (US)</t>
        </is>
      </c>
      <c r="E5" s="17" t="inlineStr">
        <is>
          <t>ECB / SSM (EU)</t>
        </is>
      </c>
      <c r="F5" s="17" t="inlineStr">
        <is>
          <t>FINMA (CH)</t>
        </is>
      </c>
      <c r="G5" s="17" t="inlineStr">
        <is>
          <t>APRA (AU)</t>
        </is>
      </c>
      <c r="H5" s="17" t="inlineStr">
        <is>
          <t>Notes</t>
        </is>
      </c>
    </row>
    <row r="6">
      <c r="A6" s="18" t="inlineStr">
        <is>
          <t>Credit Risk</t>
        </is>
      </c>
      <c r="B6" s="18" t="inlineStr">
        <is>
          <t>Counterparty Credit Risk</t>
        </is>
      </c>
      <c r="C6" s="18" t="inlineStr">
        <is>
          <t>Credit Risk</t>
        </is>
      </c>
      <c r="D6" s="18" t="inlineStr">
        <is>
          <t>Credit Risk</t>
        </is>
      </c>
      <c r="E6" s="18" t="inlineStr">
        <is>
          <t>Credit Risk</t>
        </is>
      </c>
      <c r="F6" s="18" t="inlineStr">
        <is>
          <t>Kreditrisiko</t>
        </is>
      </c>
      <c r="G6" s="18" t="inlineStr">
        <is>
          <t>Credit Risk</t>
        </is>
      </c>
      <c r="H6" s="18" t="inlineStr">
        <is>
          <t>CCP exposures may sit under Market Risk in some frameworks</t>
        </is>
      </c>
    </row>
    <row r="7">
      <c r="A7" s="18" t="inlineStr">
        <is>
          <t>Credit Risk</t>
        </is>
      </c>
      <c r="B7" s="18" t="inlineStr">
        <is>
          <t>Credit Concentration</t>
        </is>
      </c>
      <c r="C7" s="18" t="inlineStr">
        <is>
          <t>Concentration Risk</t>
        </is>
      </c>
      <c r="D7" s="18" t="inlineStr">
        <is>
          <t>Credit Concentration</t>
        </is>
      </c>
      <c r="E7" s="18" t="inlineStr">
        <is>
          <t>Concentration Risk</t>
        </is>
      </c>
      <c r="F7" s="18" t="inlineStr">
        <is>
          <t>Konzentrationsrisiko</t>
        </is>
      </c>
      <c r="G7" s="18" t="inlineStr">
        <is>
          <t>Credit Risk</t>
        </is>
      </c>
      <c r="H7" s="18" t="inlineStr">
        <is>
          <t>PRA treats as separate principal risk</t>
        </is>
      </c>
    </row>
    <row r="8">
      <c r="A8" s="18" t="inlineStr">
        <is>
          <t>Market Risk</t>
        </is>
      </c>
      <c r="B8" s="18" t="inlineStr">
        <is>
          <t>Interest Rate Risk</t>
        </is>
      </c>
      <c r="C8" s="18" t="inlineStr">
        <is>
          <t>Market Risk</t>
        </is>
      </c>
      <c r="D8" s="18" t="inlineStr">
        <is>
          <t>Market Risk</t>
        </is>
      </c>
      <c r="E8" s="18" t="inlineStr">
        <is>
          <t>Market Risk</t>
        </is>
      </c>
      <c r="F8" s="18" t="inlineStr">
        <is>
          <t>Marktrisiko</t>
        </is>
      </c>
      <c r="G8" s="18" t="inlineStr">
        <is>
          <t>Market Risk</t>
        </is>
      </c>
      <c r="H8" s="18" t="inlineStr">
        <is>
          <t>IRRBB separate under PRA/Fed</t>
        </is>
      </c>
    </row>
    <row r="9">
      <c r="A9" s="18" t="inlineStr">
        <is>
          <t>Market Risk</t>
        </is>
      </c>
      <c r="B9" s="18" t="inlineStr">
        <is>
          <t>FX Risk</t>
        </is>
      </c>
      <c r="C9" s="18" t="inlineStr">
        <is>
          <t>Market Risk</t>
        </is>
      </c>
      <c r="D9" s="18" t="inlineStr">
        <is>
          <t>Market Risk</t>
        </is>
      </c>
      <c r="E9" s="18" t="inlineStr">
        <is>
          <t>Market Risk</t>
        </is>
      </c>
      <c r="F9" s="18" t="inlineStr">
        <is>
          <t>Marktrisiko</t>
        </is>
      </c>
      <c r="G9" s="18" t="inlineStr">
        <is>
          <t>Market Risk</t>
        </is>
      </c>
      <c r="H9" s="18" t="inlineStr"/>
    </row>
    <row r="10">
      <c r="A10" s="18" t="inlineStr">
        <is>
          <t>Operational Risk</t>
        </is>
      </c>
      <c r="B10" s="18" t="inlineStr">
        <is>
          <t>Technology Risk</t>
        </is>
      </c>
      <c r="C10" s="18" t="inlineStr">
        <is>
          <t>Operational Risk</t>
        </is>
      </c>
      <c r="D10" s="18" t="inlineStr">
        <is>
          <t>Operational Risk</t>
        </is>
      </c>
      <c r="E10" s="18" t="inlineStr">
        <is>
          <t>Operational Risk</t>
        </is>
      </c>
      <c r="F10" s="18" t="inlineStr">
        <is>
          <t>Operationelles Risiko</t>
        </is>
      </c>
      <c r="G10" s="18" t="inlineStr">
        <is>
          <t>Operational Risk</t>
        </is>
      </c>
      <c r="H10" s="18" t="inlineStr">
        <is>
          <t>DORA applies for EU; PRA may split cyber out</t>
        </is>
      </c>
    </row>
    <row r="11">
      <c r="A11" s="18" t="inlineStr">
        <is>
          <t>Operational Risk</t>
        </is>
      </c>
      <c r="B11" s="18" t="inlineStr">
        <is>
          <t>People Risk</t>
        </is>
      </c>
      <c r="C11" s="18" t="inlineStr">
        <is>
          <t>Operational Risk</t>
        </is>
      </c>
      <c r="D11" s="18" t="inlineStr">
        <is>
          <t>Operational Risk</t>
        </is>
      </c>
      <c r="E11" s="18" t="inlineStr">
        <is>
          <t>Operational Risk</t>
        </is>
      </c>
      <c r="F11" s="18" t="inlineStr">
        <is>
          <t>Operationelles Risiko</t>
        </is>
      </c>
      <c r="G11" s="18" t="inlineStr">
        <is>
          <t>Operational Risk</t>
        </is>
      </c>
      <c r="H11" s="18" t="inlineStr">
        <is>
          <t>SM&amp;CR adds individual accountability (UK)</t>
        </is>
      </c>
    </row>
    <row r="12">
      <c r="A12" s="18" t="inlineStr">
        <is>
          <t>Liquidity Risk</t>
        </is>
      </c>
      <c r="B12" s="18" t="inlineStr">
        <is>
          <t>Funding Risk</t>
        </is>
      </c>
      <c r="C12" s="18" t="inlineStr">
        <is>
          <t>Liquidity Risk</t>
        </is>
      </c>
      <c r="D12" s="18" t="inlineStr">
        <is>
          <t>Liquidity Risk</t>
        </is>
      </c>
      <c r="E12" s="18" t="inlineStr">
        <is>
          <t>Liquidity Risk</t>
        </is>
      </c>
      <c r="F12" s="18" t="inlineStr">
        <is>
          <t>Liquiditätsrisiko</t>
        </is>
      </c>
      <c r="G12" s="18" t="inlineStr">
        <is>
          <t>Liquidity Risk</t>
        </is>
      </c>
      <c r="H12" s="18" t="inlineStr">
        <is>
          <t>Captured via LCR/NSFR across all frameworks</t>
        </is>
      </c>
    </row>
    <row r="13">
      <c r="A13" s="18" t="inlineStr">
        <is>
          <t>Strategic Risk</t>
        </is>
      </c>
      <c r="B13" s="18" t="inlineStr">
        <is>
          <t>Business Model Risk</t>
        </is>
      </c>
      <c r="C13" s="18" t="inlineStr">
        <is>
          <t>Business Risk</t>
        </is>
      </c>
      <c r="D13" s="18" t="inlineStr">
        <is>
          <t>Strategic Risk</t>
        </is>
      </c>
      <c r="E13" s="18" t="inlineStr">
        <is>
          <t>Business Model Risk</t>
        </is>
      </c>
      <c r="F13" s="18" t="inlineStr">
        <is>
          <t>Strategisches Risiko</t>
        </is>
      </c>
      <c r="G13" s="18" t="inlineStr">
        <is>
          <t>Strategic Risk</t>
        </is>
      </c>
      <c r="H13" s="18" t="inlineStr">
        <is>
          <t>PRA terms it "Business Risk" in SS31/15</t>
        </is>
      </c>
    </row>
    <row r="14">
      <c r="A14" s="18" t="inlineStr">
        <is>
          <t>Conduct Risk</t>
        </is>
      </c>
      <c r="B14" s="18" t="inlineStr">
        <is>
          <t>Sales Practices</t>
        </is>
      </c>
      <c r="C14" s="18" t="inlineStr">
        <is>
          <t>Conduct Risk</t>
        </is>
      </c>
      <c r="D14" s="18" t="inlineStr">
        <is>
          <t>Compliance Risk</t>
        </is>
      </c>
      <c r="E14" s="18" t="inlineStr">
        <is>
          <t>Conduct Risk</t>
        </is>
      </c>
      <c r="F14" s="18" t="inlineStr">
        <is>
          <t>Verhaltensrisiko</t>
        </is>
      </c>
      <c r="G14" s="18" t="inlineStr">
        <is>
          <t>Conduct Risk</t>
        </is>
      </c>
      <c r="H14" s="18" t="inlineStr">
        <is>
          <t>Fed bundles under Compliance; UK/AU separate</t>
        </is>
      </c>
    </row>
    <row r="15">
      <c r="A15" s="18" t="inlineStr">
        <is>
          <t>Compliance Risk</t>
        </is>
      </c>
      <c r="B15" s="18" t="inlineStr">
        <is>
          <t>AML/CFT</t>
        </is>
      </c>
      <c r="C15" s="18" t="inlineStr">
        <is>
          <t>Financial Crime</t>
        </is>
      </c>
      <c r="D15" s="18" t="inlineStr">
        <is>
          <t>BSA/AML</t>
        </is>
      </c>
      <c r="E15" s="18" t="inlineStr">
        <is>
          <t>ML/TF Risk</t>
        </is>
      </c>
      <c r="F15" s="18" t="inlineStr">
        <is>
          <t>Geldwäscherei</t>
        </is>
      </c>
      <c r="G15" s="18" t="inlineStr">
        <is>
          <t>AML/CTF</t>
        </is>
      </c>
      <c r="H15" s="18" t="inlineStr">
        <is>
          <t>Terminology varies significantly across jurisdictions</t>
        </is>
      </c>
    </row>
  </sheetData>
  <autoFilter ref="A5:H5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B2A4A"/>
    <outlinePr summaryBelow="1" summaryRight="1"/>
    <pageSetUpPr fitToPage="1"/>
  </sheetPr>
  <dimension ref="A1:F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30" customWidth="1" min="3" max="3"/>
    <col width="18" customWidth="1" min="4" max="4"/>
    <col width="15" customWidth="1" min="5" max="5"/>
    <col width="30" customWidth="1" min="6" max="6"/>
  </cols>
  <sheetData>
    <row r="1">
      <c r="A1" s="15" t="inlineStr">
        <is>
          <t>PESTLE Assessment</t>
        </is>
      </c>
    </row>
    <row r="2">
      <c r="A2" s="16" t="inlineStr">
        <is>
          <t>Book Reference: Chapter 5 — Setting the Context</t>
        </is>
      </c>
    </row>
    <row r="3">
      <c r="A3" s="14" t="inlineStr">
        <is>
          <t>Assess external environment factors. Map each finding to taxonomy categories and rate significance (1–5).</t>
        </is>
      </c>
    </row>
    <row r="5">
      <c r="A5" s="17" t="inlineStr">
        <is>
          <t>PESTLE Dimension</t>
        </is>
      </c>
      <c r="B5" s="17" t="inlineStr">
        <is>
          <t>Key Finding / Observation</t>
        </is>
      </c>
      <c r="C5" s="17" t="inlineStr">
        <is>
          <t>Taxonomy Categories Affected</t>
        </is>
      </c>
      <c r="D5" s="17" t="inlineStr">
        <is>
          <t>Significance (1–5)</t>
        </is>
      </c>
      <c r="E5" s="17" t="inlineStr">
        <is>
          <t>Trend</t>
        </is>
      </c>
      <c r="F5" s="17" t="inlineStr">
        <is>
          <t>Source / Evidence</t>
        </is>
      </c>
    </row>
    <row r="6">
      <c r="A6" s="19" t="inlineStr">
        <is>
          <t>POLITICAL</t>
        </is>
      </c>
      <c r="B6" s="20" t="n"/>
      <c r="C6" s="20" t="n"/>
      <c r="D6" s="20" t="n"/>
      <c r="E6" s="20" t="n"/>
      <c r="F6" s="20" t="n"/>
    </row>
    <row r="7">
      <c r="A7" s="21" t="n"/>
      <c r="B7" s="18" t="inlineStr">
        <is>
          <t>Government stability and policy direction</t>
        </is>
      </c>
      <c r="C7" s="18" t="inlineStr">
        <is>
          <t>Strategic Risk, Country Risk</t>
        </is>
      </c>
      <c r="D7" s="18" t="n">
        <v>3</v>
      </c>
      <c r="E7" s="18" t="inlineStr">
        <is>
          <t>Stable</t>
        </is>
      </c>
      <c r="F7" s="18" t="inlineStr">
        <is>
          <t>Cabinet Office policy tracker</t>
        </is>
      </c>
    </row>
    <row r="8">
      <c r="A8" s="21" t="n"/>
      <c r="B8" s="18" t="inlineStr">
        <is>
          <t>Trade policy / sanctions regime changes</t>
        </is>
      </c>
      <c r="C8" s="18" t="inlineStr">
        <is>
          <t>Compliance Risk, Credit Risk</t>
        </is>
      </c>
      <c r="D8" s="18" t="n">
        <v>4</v>
      </c>
      <c r="E8" s="18" t="inlineStr">
        <is>
          <t>Increasing</t>
        </is>
      </c>
      <c r="F8" s="18" t="inlineStr">
        <is>
          <t>OFAC/OFSI updates Q4 2025</t>
        </is>
      </c>
    </row>
    <row r="9">
      <c r="A9" s="21" t="n"/>
      <c r="B9" s="18" t="inlineStr">
        <is>
          <t>Regulatory reform agenda (Basel 3.1 implementation)</t>
        </is>
      </c>
      <c r="C9" s="18" t="inlineStr">
        <is>
          <t>Capital Risk, Compliance Risk</t>
        </is>
      </c>
      <c r="D9" s="18" t="n">
        <v>4</v>
      </c>
      <c r="E9" s="18" t="inlineStr">
        <is>
          <t>Increasing</t>
        </is>
      </c>
      <c r="F9" s="18" t="inlineStr">
        <is>
          <t>PRA PS9/24</t>
        </is>
      </c>
    </row>
    <row r="11">
      <c r="A11" s="19" t="inlineStr">
        <is>
          <t>ECONOMIC</t>
        </is>
      </c>
      <c r="B11" s="20" t="n"/>
      <c r="C11" s="20" t="n"/>
      <c r="D11" s="20" t="n"/>
      <c r="E11" s="20" t="n"/>
      <c r="F11" s="20" t="n"/>
    </row>
    <row r="12">
      <c r="A12" s="21" t="n"/>
      <c r="B12" s="18" t="inlineStr">
        <is>
          <t>Interest rate environment and trajectory</t>
        </is>
      </c>
      <c r="C12" s="18" t="inlineStr">
        <is>
          <t>Market Risk, Credit Risk</t>
        </is>
      </c>
      <c r="D12" s="18" t="n">
        <v>5</v>
      </c>
      <c r="E12" s="18" t="inlineStr">
        <is>
          <t>Decreasing</t>
        </is>
      </c>
      <c r="F12" s="18" t="inlineStr">
        <is>
          <t>BoE MPC minutes; forward curve</t>
        </is>
      </c>
    </row>
    <row r="13">
      <c r="A13" s="21" t="n"/>
      <c r="B13" s="18" t="inlineStr">
        <is>
          <t>Credit cycle position (late cycle indicators)</t>
        </is>
      </c>
      <c r="C13" s="18" t="inlineStr">
        <is>
          <t>Credit Risk, Strategic Risk</t>
        </is>
      </c>
      <c r="D13" s="18" t="n">
        <v>4</v>
      </c>
      <c r="E13" s="18" t="inlineStr">
        <is>
          <t>Increasing</t>
        </is>
      </c>
      <c r="F13" s="18" t="inlineStr">
        <is>
          <t>BoE Financial Stability Report</t>
        </is>
      </c>
    </row>
    <row r="14">
      <c r="A14" s="21" t="n"/>
      <c r="B14" s="18" t="inlineStr">
        <is>
          <t>Inflation / deflation pressures</t>
        </is>
      </c>
      <c r="C14" s="18" t="inlineStr">
        <is>
          <t>Market Risk, Strategic Risk</t>
        </is>
      </c>
      <c r="D14" s="18" t="n">
        <v>3</v>
      </c>
      <c r="E14" s="18" t="inlineStr">
        <is>
          <t>Decreasing</t>
        </is>
      </c>
      <c r="F14" s="18" t="inlineStr">
        <is>
          <t>ONS CPI data</t>
        </is>
      </c>
    </row>
    <row r="15">
      <c r="A15" s="21" t="n"/>
      <c r="B15" s="18" t="inlineStr">
        <is>
          <t>Commercial real estate repricing</t>
        </is>
      </c>
      <c r="C15" s="18" t="inlineStr">
        <is>
          <t>Credit Risk, Capital Risk</t>
        </is>
      </c>
      <c r="D15" s="18" t="n">
        <v>4</v>
      </c>
      <c r="E15" s="18" t="inlineStr">
        <is>
          <t>Increasing</t>
        </is>
      </c>
      <c r="F15" s="18" t="inlineStr">
        <is>
          <t>MSCI UK Property Index</t>
        </is>
      </c>
    </row>
    <row r="17">
      <c r="A17" s="19" t="inlineStr">
        <is>
          <t>SOCIAL</t>
        </is>
      </c>
      <c r="B17" s="20" t="n"/>
      <c r="C17" s="20" t="n"/>
      <c r="D17" s="20" t="n"/>
      <c r="E17" s="20" t="n"/>
      <c r="F17" s="20" t="n"/>
    </row>
    <row r="18">
      <c r="A18" s="21" t="n"/>
      <c r="B18" s="18" t="inlineStr">
        <is>
          <t>Demographic shifts affecting customer base</t>
        </is>
      </c>
      <c r="C18" s="18" t="inlineStr">
        <is>
          <t>Strategic Risk</t>
        </is>
      </c>
      <c r="D18" s="18" t="n">
        <v>2</v>
      </c>
      <c r="E18" s="18" t="inlineStr">
        <is>
          <t>Stable</t>
        </is>
      </c>
      <c r="F18" s="18" t="inlineStr">
        <is>
          <t>ONS population projections</t>
        </is>
      </c>
    </row>
    <row r="19">
      <c r="A19" s="21" t="n"/>
      <c r="B19" s="18" t="inlineStr">
        <is>
          <t>Public trust in financial institutions</t>
        </is>
      </c>
      <c r="C19" s="18" t="inlineStr">
        <is>
          <t>Reputational Risk, Conduct Risk</t>
        </is>
      </c>
      <c r="D19" s="18" t="n">
        <v>3</v>
      </c>
      <c r="E19" s="18" t="inlineStr">
        <is>
          <t>Stable</t>
        </is>
      </c>
      <c r="F19" s="18" t="inlineStr">
        <is>
          <t>Edelman Trust Barometer 2025</t>
        </is>
      </c>
    </row>
    <row r="20">
      <c r="A20" s="21" t="n"/>
      <c r="B20" s="18" t="inlineStr">
        <is>
          <t>Remote working impact on operational resilience</t>
        </is>
      </c>
      <c r="C20" s="18" t="inlineStr">
        <is>
          <t>Operational Risk, Technology Risk</t>
        </is>
      </c>
      <c r="D20" s="18" t="n">
        <v>3</v>
      </c>
      <c r="E20" s="18" t="inlineStr">
        <is>
          <t>Stable</t>
        </is>
      </c>
      <c r="F20" s="18" t="inlineStr">
        <is>
          <t>Internal HR data</t>
        </is>
      </c>
    </row>
    <row r="22">
      <c r="A22" s="19" t="inlineStr">
        <is>
          <t>TECHNOLOGICAL</t>
        </is>
      </c>
      <c r="B22" s="20" t="n"/>
      <c r="C22" s="20" t="n"/>
      <c r="D22" s="20" t="n"/>
      <c r="E22" s="20" t="n"/>
      <c r="F22" s="20" t="n"/>
    </row>
    <row r="23">
      <c r="A23" s="21" t="n"/>
      <c r="B23" s="18" t="inlineStr">
        <is>
          <t>AI/ML adoption in credit decisioning</t>
        </is>
      </c>
      <c r="C23" s="18" t="inlineStr">
        <is>
          <t>Model Risk, Operational Risk</t>
        </is>
      </c>
      <c r="D23" s="18" t="n">
        <v>4</v>
      </c>
      <c r="E23" s="18" t="inlineStr">
        <is>
          <t>Increasing</t>
        </is>
      </c>
      <c r="F23" s="18" t="inlineStr">
        <is>
          <t>BoE AI discussion paper</t>
        </is>
      </c>
    </row>
    <row r="24">
      <c r="A24" s="21" t="n"/>
      <c r="B24" s="18" t="inlineStr">
        <is>
          <t>Cloud concentration (AWS/Azure/GCP)</t>
        </is>
      </c>
      <c r="C24" s="18" t="inlineStr">
        <is>
          <t>Technology Risk, Third-Party Risk</t>
        </is>
      </c>
      <c r="D24" s="18" t="n">
        <v>4</v>
      </c>
      <c r="E24" s="18" t="inlineStr">
        <is>
          <t>Increasing</t>
        </is>
      </c>
      <c r="F24" s="18" t="inlineStr">
        <is>
          <t>FCA/PRA outsourcing review</t>
        </is>
      </c>
    </row>
    <row r="25">
      <c r="A25" s="21" t="n"/>
      <c r="B25" s="18" t="inlineStr">
        <is>
          <t>Quantum computing threat to cryptography</t>
        </is>
      </c>
      <c r="C25" s="18" t="inlineStr">
        <is>
          <t>Technology Risk</t>
        </is>
      </c>
      <c r="D25" s="18" t="n">
        <v>2</v>
      </c>
      <c r="E25" s="18" t="inlineStr">
        <is>
          <t>Increasing</t>
        </is>
      </c>
      <c r="F25" s="18" t="inlineStr">
        <is>
          <t>NIST post-quantum standards</t>
        </is>
      </c>
    </row>
    <row r="27">
      <c r="A27" s="19" t="inlineStr">
        <is>
          <t>LEGAL</t>
        </is>
      </c>
      <c r="B27" s="20" t="n"/>
      <c r="C27" s="20" t="n"/>
      <c r="D27" s="20" t="n"/>
      <c r="E27" s="20" t="n"/>
      <c r="F27" s="20" t="n"/>
    </row>
    <row r="28">
      <c r="A28" s="21" t="n"/>
      <c r="B28" s="18" t="inlineStr">
        <is>
          <t>GDPR enforcement intensification</t>
        </is>
      </c>
      <c r="C28" s="18" t="inlineStr">
        <is>
          <t>Compliance Risk, Operational Risk</t>
        </is>
      </c>
      <c r="D28" s="18" t="n">
        <v>3</v>
      </c>
      <c r="E28" s="18" t="inlineStr">
        <is>
          <t>Increasing</t>
        </is>
      </c>
      <c r="F28" s="18" t="inlineStr">
        <is>
          <t>ICO enforcement tracker</t>
        </is>
      </c>
    </row>
    <row r="29">
      <c r="A29" s="21" t="n"/>
      <c r="B29" s="18" t="inlineStr">
        <is>
          <t>Senior Managers &amp; Certification Regime expansion</t>
        </is>
      </c>
      <c r="C29" s="18" t="inlineStr">
        <is>
          <t>Conduct Risk, Compliance Risk</t>
        </is>
      </c>
      <c r="D29" s="18" t="n">
        <v>3</v>
      </c>
      <c r="E29" s="18" t="inlineStr">
        <is>
          <t>Stable</t>
        </is>
      </c>
      <c r="F29" s="18" t="inlineStr">
        <is>
          <t>FCA SM&amp;CR directory</t>
        </is>
      </c>
    </row>
    <row r="31">
      <c r="A31" s="19" t="inlineStr">
        <is>
          <t>ENVIRONMENTAL</t>
        </is>
      </c>
      <c r="B31" s="20" t="n"/>
      <c r="C31" s="20" t="n"/>
      <c r="D31" s="20" t="n"/>
      <c r="E31" s="20" t="n"/>
      <c r="F31" s="20" t="n"/>
    </row>
    <row r="32">
      <c r="A32" s="21" t="n"/>
      <c r="B32" s="18" t="inlineStr">
        <is>
          <t>Climate transition risk (carbon-intensive portfolios)</t>
        </is>
      </c>
      <c r="C32" s="18" t="inlineStr">
        <is>
          <t>Credit Risk, Strategic Risk</t>
        </is>
      </c>
      <c r="D32" s="18" t="n">
        <v>4</v>
      </c>
      <c r="E32" s="18" t="inlineStr">
        <is>
          <t>Increasing</t>
        </is>
      </c>
      <c r="F32" s="18" t="inlineStr">
        <is>
          <t>NGFS scenarios; PRA SS3/19</t>
        </is>
      </c>
    </row>
    <row r="33">
      <c r="A33" s="21" t="n"/>
      <c r="B33" s="18" t="inlineStr">
        <is>
          <t>Physical risk from extreme weather events</t>
        </is>
      </c>
      <c r="C33" s="18" t="inlineStr">
        <is>
          <t>Credit Risk, Operational Risk</t>
        </is>
      </c>
      <c r="D33" s="18" t="n">
        <v>3</v>
      </c>
      <c r="E33" s="18" t="inlineStr">
        <is>
          <t>Increasing</t>
        </is>
      </c>
      <c r="F33" s="18" t="inlineStr">
        <is>
          <t>Met Office climate projections</t>
        </is>
      </c>
    </row>
    <row r="34">
      <c r="A34" s="21" t="n"/>
      <c r="B34" s="18" t="inlineStr">
        <is>
          <t>Biodiversity and nature-related financial risks</t>
        </is>
      </c>
      <c r="C34" s="18" t="inlineStr">
        <is>
          <t>Credit Risk, Reputational Risk</t>
        </is>
      </c>
      <c r="D34" s="18" t="n">
        <v>2</v>
      </c>
      <c r="E34" s="18" t="inlineStr">
        <is>
          <t>Increasing</t>
        </is>
      </c>
      <c r="F34" s="18" t="inlineStr">
        <is>
          <t>TNFD framework v1.0</t>
        </is>
      </c>
    </row>
  </sheetData>
  <conditionalFormatting sqref="D6:D100">
    <cfRule type="cellIs" priority="1" operator="equal" dxfId="0">
      <formula>5</formula>
    </cfRule>
    <cfRule type="cellIs" priority="2" operator="equal" dxfId="1">
      <formula>4</formula>
    </cfRule>
    <cfRule type="cellIs" priority="3" operator="equal" dxfId="2">
      <formula>3</formula>
    </cfRule>
    <cfRule type="cellIs" priority="4" operator="equal" dxfId="3">
      <formula>2</formula>
    </cfRule>
    <cfRule type="cellIs" priority="5" operator="equal" dxfId="4">
      <formula>1</formula>
    </cfRule>
  </conditionalFormatting>
  <dataValidations count="2">
    <dataValidation sqref="D6:D100" showDropDown="0" showInputMessage="0" showErrorMessage="0" allowBlank="1" errorTitle="Invalid Entry" error="Please select from the list" type="list">
      <formula1>"1,2,3,4,5"</formula1>
    </dataValidation>
    <dataValidation sqref="E6:E100" showDropDown="0" showInputMessage="0" showErrorMessage="0" allowBlank="1" errorTitle="Invalid Entry" error="Please select from the list" type="list">
      <formula1>"Increasing,Stable,Decreasing,New"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B2A4A"/>
    <outlinePr summaryBelow="1" summaryRight="1"/>
    <pageSetUpPr fitToPage="1"/>
  </sheetPr>
  <dimension ref="A1:E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40" customWidth="1" min="3" max="3"/>
    <col width="15" customWidth="1" min="4" max="4"/>
    <col width="35" customWidth="1" min="5" max="5"/>
  </cols>
  <sheetData>
    <row r="1">
      <c r="A1" s="15" t="inlineStr">
        <is>
          <t>Internal Environment Assessment (Seven COSO Elements)</t>
        </is>
      </c>
    </row>
    <row r="2">
      <c r="A2" s="16" t="inlineStr">
        <is>
          <t>Book Reference: Chapter 5 — Setting the Context</t>
        </is>
      </c>
    </row>
    <row r="3">
      <c r="A3" s="14" t="inlineStr">
        <is>
          <t>Assess each of the seven COSO ERM internal environment elements. Rate as Strong / Adequate / Weak / Critical.</t>
        </is>
      </c>
    </row>
    <row r="5">
      <c r="A5" s="17" t="inlineStr">
        <is>
          <t>COSO Element</t>
        </is>
      </c>
      <c r="B5" s="17" t="inlineStr">
        <is>
          <t>Assessment Question</t>
        </is>
      </c>
      <c r="C5" s="17" t="inlineStr">
        <is>
          <t>Finding / Evidence</t>
        </is>
      </c>
      <c r="D5" s="17" t="inlineStr">
        <is>
          <t>Rating</t>
        </is>
      </c>
      <c r="E5" s="17" t="inlineStr">
        <is>
          <t>Risks Implicated</t>
        </is>
      </c>
    </row>
    <row r="6">
      <c r="A6" s="18" t="inlineStr">
        <is>
          <t>1. Risk Management Philosophy</t>
        </is>
      </c>
      <c r="B6" s="18" t="inlineStr">
        <is>
          <t>How does senior management communicate risk appetite and tolerance?</t>
        </is>
      </c>
      <c r="C6" s="18" t="inlineStr">
        <is>
          <t>Board-approved RAS published annually; cascaded via BU risk committees</t>
        </is>
      </c>
      <c r="D6" s="18" t="inlineStr">
        <is>
          <t>Strong</t>
        </is>
      </c>
      <c r="E6" s="18" t="inlineStr">
        <is>
          <t>Strategic Risk</t>
        </is>
      </c>
    </row>
    <row r="7">
      <c r="A7" s="18" t="inlineStr">
        <is>
          <t>1. Risk Management Philosophy</t>
        </is>
      </c>
      <c r="B7" s="18" t="inlineStr">
        <is>
          <t>Is risk-taking rewarded or penalised in practice?</t>
        </is>
      </c>
      <c r="C7" s="18" t="inlineStr">
        <is>
          <t>Bonus pool adjusted for risk metrics but front-office still primarily revenue-driven</t>
        </is>
      </c>
      <c r="D7" s="18" t="inlineStr">
        <is>
          <t>Adequate</t>
        </is>
      </c>
      <c r="E7" s="18" t="inlineStr">
        <is>
          <t>Conduct Risk, Strategic Risk</t>
        </is>
      </c>
    </row>
    <row r="8">
      <c r="A8" s="18" t="inlineStr">
        <is>
          <t>2. Board Risk Oversight</t>
        </is>
      </c>
      <c r="B8" s="18" t="inlineStr">
        <is>
          <t>Does the Board actively challenge risk assessments or rubber-stamp?</t>
        </is>
      </c>
      <c r="C8" s="18" t="inlineStr">
        <is>
          <t>BRC minutes show substantive challenge; 3 independent risk experts on Board</t>
        </is>
      </c>
      <c r="D8" s="18" t="inlineStr">
        <is>
          <t>Strong</t>
        </is>
      </c>
      <c r="E8" s="18" t="inlineStr">
        <is>
          <t>All material risks</t>
        </is>
      </c>
    </row>
    <row r="9">
      <c r="A9" s="18" t="inlineStr">
        <is>
          <t>2. Board Risk Oversight</t>
        </is>
      </c>
      <c r="B9" s="18" t="inlineStr">
        <is>
          <t>Does the Board have independent risk expertise?</t>
        </is>
      </c>
      <c r="C9" s="18" t="inlineStr">
        <is>
          <t>Two members with CRO experience at peer institutions</t>
        </is>
      </c>
      <c r="D9" s="18" t="inlineStr">
        <is>
          <t>Strong</t>
        </is>
      </c>
      <c r="E9" s="18" t="inlineStr">
        <is>
          <t>All material risks</t>
        </is>
      </c>
    </row>
    <row r="10">
      <c r="A10" s="18" t="inlineStr">
        <is>
          <t>3. Integrity and Ethical Values</t>
        </is>
      </c>
      <c r="B10" s="18" t="inlineStr">
        <is>
          <t>Have there been conduct failures in the past 3 years?</t>
        </is>
      </c>
      <c r="C10" s="18" t="inlineStr">
        <is>
          <t>One sales practice remediation in retail (2024); no systemic issues</t>
        </is>
      </c>
      <c r="D10" s="18" t="inlineStr">
        <is>
          <t>Adequate</t>
        </is>
      </c>
      <c r="E10" s="18" t="inlineStr">
        <is>
          <t>Conduct Risk, Reputational Risk</t>
        </is>
      </c>
    </row>
    <row r="11">
      <c r="A11" s="18" t="inlineStr">
        <is>
          <t>3. Integrity and Ethical Values</t>
        </is>
      </c>
      <c r="B11" s="18" t="inlineStr">
        <is>
          <t>Is whistleblowing actively encouraged and protected?</t>
        </is>
      </c>
      <c r="C11" s="18" t="inlineStr">
        <is>
          <t>Annual awareness campaign; 12 reports last year, all investigated</t>
        </is>
      </c>
      <c r="D11" s="18" t="inlineStr">
        <is>
          <t>Adequate</t>
        </is>
      </c>
      <c r="E11" s="18" t="inlineStr">
        <is>
          <t>Conduct Risk, Compliance Risk</t>
        </is>
      </c>
    </row>
    <row r="12">
      <c r="A12" s="18" t="inlineStr">
        <is>
          <t>4. Commitment to Competence</t>
        </is>
      </c>
      <c r="B12" s="18" t="inlineStr">
        <is>
          <t>Are risk management roles staffed with qualified professionals?</t>
        </is>
      </c>
      <c r="C12" s="18" t="inlineStr">
        <is>
          <t>85% of risk team hold FRM/PRM; vacancy rate 8% (above target)</t>
        </is>
      </c>
      <c r="D12" s="18" t="inlineStr">
        <is>
          <t>Adequate</t>
        </is>
      </c>
      <c r="E12" s="18" t="inlineStr">
        <is>
          <t>Operational Risk</t>
        </is>
      </c>
    </row>
    <row r="13">
      <c r="A13" s="18" t="inlineStr">
        <is>
          <t>4. Commitment to Competence</t>
        </is>
      </c>
      <c r="B13" s="18" t="inlineStr">
        <is>
          <t>Is there adequate training for risk identification?</t>
        </is>
      </c>
      <c r="C13" s="18" t="inlineStr">
        <is>
          <t>No formal training programme for BU risk leads; ad-hoc only</t>
        </is>
      </c>
      <c r="D13" s="18" t="inlineStr">
        <is>
          <t>Weak</t>
        </is>
      </c>
      <c r="E13" s="18" t="inlineStr">
        <is>
          <t>All risks — identification quality</t>
        </is>
      </c>
    </row>
    <row r="14">
      <c r="A14" s="18" t="inlineStr">
        <is>
          <t>5. Organisational Structure</t>
        </is>
      </c>
      <c r="B14" s="18" t="inlineStr">
        <is>
          <t>Are risk functions independent of revenue-generating functions?</t>
        </is>
      </c>
      <c r="C14" s="18" t="inlineStr">
        <is>
          <t>CRO reports to CEO with dotted line to Board; budget set by Board</t>
        </is>
      </c>
      <c r="D14" s="18" t="inlineStr">
        <is>
          <t>Strong</t>
        </is>
      </c>
      <c r="E14" s="18" t="inlineStr">
        <is>
          <t>All material risks</t>
        </is>
      </c>
    </row>
    <row r="15">
      <c r="A15" s="18" t="inlineStr">
        <is>
          <t>5. Organisational Structure</t>
        </is>
      </c>
      <c r="B15" s="18" t="inlineStr">
        <is>
          <t>Does the CRO have direct Board access?</t>
        </is>
      </c>
      <c r="C15" s="18" t="inlineStr">
        <is>
          <t>Standing invitation to all Board meetings; private sessions quarterly</t>
        </is>
      </c>
      <c r="D15" s="18" t="inlineStr">
        <is>
          <t>Strong</t>
        </is>
      </c>
      <c r="E15" s="18" t="inlineStr">
        <is>
          <t>All material risks</t>
        </is>
      </c>
    </row>
    <row r="16">
      <c r="A16" s="18" t="inlineStr">
        <is>
          <t>6. Assignment of Authority</t>
        </is>
      </c>
      <c r="B16" s="18" t="inlineStr">
        <is>
          <t>Are risk owners clearly defined for all material risks?</t>
        </is>
      </c>
      <c r="C16" s="18" t="inlineStr">
        <is>
          <t>Documented for top 15 principal risks; gaps in L2/L3 ownership</t>
        </is>
      </c>
      <c r="D16" s="18" t="inlineStr">
        <is>
          <t>Adequate</t>
        </is>
      </c>
      <c r="E16" s="18" t="inlineStr">
        <is>
          <t>Operational Risk</t>
        </is>
      </c>
    </row>
    <row r="17">
      <c r="A17" s="18" t="inlineStr">
        <is>
          <t>6. Assignment of Authority</t>
        </is>
      </c>
      <c r="B17" s="18" t="inlineStr">
        <is>
          <t>Do business unit heads accept accountability for risks?</t>
        </is>
      </c>
      <c r="C17" s="18" t="inlineStr">
        <is>
          <t>Variable — some BUs treat risk ID as a compliance exercise</t>
        </is>
      </c>
      <c r="D17" s="18" t="inlineStr">
        <is>
          <t>Weak</t>
        </is>
      </c>
      <c r="E17" s="18" t="inlineStr">
        <is>
          <t>All BU-level risks</t>
        </is>
      </c>
    </row>
    <row r="18">
      <c r="A18" s="18" t="inlineStr">
        <is>
          <t>7. Human Resource Standards</t>
        </is>
      </c>
      <c r="B18" s="18" t="inlineStr">
        <is>
          <t>Do compensation structures incentivise excessive risk-taking?</t>
        </is>
      </c>
      <c r="C18" s="18" t="inlineStr">
        <is>
          <t>Deferred comp and malus/clawback in place; short-term targets still dominant</t>
        </is>
      </c>
      <c r="D18" s="18" t="inlineStr">
        <is>
          <t>Adequate</t>
        </is>
      </c>
      <c r="E18" s="18" t="inlineStr">
        <is>
          <t>Conduct Risk, Strategic Risk</t>
        </is>
      </c>
    </row>
    <row r="19">
      <c r="A19" s="18" t="inlineStr">
        <is>
          <t>7. Human Resource Standards</t>
        </is>
      </c>
      <c r="B19" s="18" t="inlineStr">
        <is>
          <t>Is there key-person dependency in risk management?</t>
        </is>
      </c>
      <c r="C19" s="18" t="inlineStr">
        <is>
          <t>CRO function has 2 single points of failure in quantitative risk</t>
        </is>
      </c>
      <c r="D19" s="18" t="inlineStr">
        <is>
          <t>Weak</t>
        </is>
      </c>
      <c r="E19" s="18" t="inlineStr">
        <is>
          <t>Operational Risk, Model Risk</t>
        </is>
      </c>
    </row>
  </sheetData>
  <autoFilter ref="A5:E5"/>
  <conditionalFormatting sqref="D6:D100">
    <cfRule type="cellIs" priority="1" operator="equal" dxfId="4">
      <formula>"Strong"</formula>
    </cfRule>
    <cfRule type="cellIs" priority="2" operator="equal" dxfId="3">
      <formula>"Adequate"</formula>
    </cfRule>
    <cfRule type="cellIs" priority="3" operator="equal" dxfId="5">
      <formula>"Weak"</formula>
    </cfRule>
    <cfRule type="cellIs" priority="4" operator="equal" dxfId="6">
      <formula>"Critical"</formula>
    </cfRule>
  </conditionalFormatting>
  <dataValidations count="1">
    <dataValidation sqref="D6:D100" showDropDown="0" showInputMessage="0" showErrorMessage="0" allowBlank="1" errorTitle="Invalid Entry" error="Please select from the list" type="list">
      <formula1>"Strong,Adequate,Weak,Critical"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B2A4A"/>
    <outlinePr summaryBelow="1" summaryRight="1"/>
    <pageSetUpPr fitToPage="1"/>
  </sheetPr>
  <dimension ref="A1:E5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5" customWidth="1" min="3" max="3"/>
    <col width="40" customWidth="1" min="4" max="4"/>
    <col width="45" customWidth="1" min="5" max="5"/>
    <col width="40" customWidth="1" min="6" max="6"/>
  </cols>
  <sheetData>
    <row r="1">
      <c r="A1" s="15" t="inlineStr">
        <is>
          <t>Risk Criteria — Impact, Likelihood, Vulnerability, Speed of Onset</t>
        </is>
      </c>
    </row>
    <row r="2">
      <c r="A2" s="16" t="inlineStr">
        <is>
          <t>Book Reference: Chapter 5, 9 — Four-dimensional scoring framework</t>
        </is>
      </c>
    </row>
    <row r="4">
      <c r="A4" s="22" t="inlineStr">
        <is>
          <t>FINANCIAL IMPACT SCALE</t>
        </is>
      </c>
    </row>
    <row r="5">
      <c r="A5" s="17" t="inlineStr">
        <is>
          <t>Score</t>
        </is>
      </c>
      <c r="B5" s="17" t="inlineStr">
        <is>
          <t>Rating</t>
        </is>
      </c>
      <c r="C5" s="17" t="inlineStr">
        <is>
          <t>Description</t>
        </is>
      </c>
      <c r="D5" s="17" t="inlineStr">
        <is>
          <t>CET1 Impact Anchor</t>
        </is>
      </c>
      <c r="E5" s="17" t="inlineStr">
        <is>
          <t>Example</t>
        </is>
      </c>
    </row>
    <row r="6">
      <c r="A6" s="23" t="n">
        <v>1</v>
      </c>
      <c r="B6" s="23" t="inlineStr">
        <is>
          <t>Incidental</t>
        </is>
      </c>
      <c r="C6" s="23" t="inlineStr">
        <is>
          <t>Negligible financial impact</t>
        </is>
      </c>
      <c r="D6" s="23" t="inlineStr">
        <is>
          <t>&lt;1 bps of CET1</t>
        </is>
      </c>
      <c r="E6" s="23" t="inlineStr">
        <is>
          <t>Minor operational loss absorbed within budget</t>
        </is>
      </c>
    </row>
    <row r="7">
      <c r="A7" s="23" t="n">
        <v>2</v>
      </c>
      <c r="B7" s="23" t="inlineStr">
        <is>
          <t>Minor</t>
        </is>
      </c>
      <c r="C7" s="23" t="inlineStr">
        <is>
          <t>Small financial loss within normal volatility</t>
        </is>
      </c>
      <c r="D7" s="23" t="inlineStr">
        <is>
          <t>1–10 bps of CET1</t>
        </is>
      </c>
      <c r="E7" s="23" t="inlineStr">
        <is>
          <t>Failed trade, small fraud, minor write-down</t>
        </is>
      </c>
    </row>
    <row r="8">
      <c r="A8" s="23" t="n">
        <v>3</v>
      </c>
      <c r="B8" s="23" t="inlineStr">
        <is>
          <t>Moderate</t>
        </is>
      </c>
      <c r="C8" s="23" t="inlineStr">
        <is>
          <t>Material financial loss requiring management attention</t>
        </is>
      </c>
      <c r="D8" s="23" t="inlineStr">
        <is>
          <t>10–50 bps of CET1</t>
        </is>
      </c>
      <c r="E8" s="23" t="inlineStr">
        <is>
          <t>Significant credit default, trading loss, regulatory fine</t>
        </is>
      </c>
    </row>
    <row r="9">
      <c r="A9" s="23" t="n">
        <v>4</v>
      </c>
      <c r="B9" s="23" t="inlineStr">
        <is>
          <t>Major</t>
        </is>
      </c>
      <c r="C9" s="23" t="inlineStr">
        <is>
          <t>Severe financial loss threatening profitability</t>
        </is>
      </c>
      <c r="D9" s="23" t="inlineStr">
        <is>
          <t>50–200 bps of CET1</t>
        </is>
      </c>
      <c r="E9" s="23" t="inlineStr">
        <is>
          <t>Major counterparty failure, portfolio-level write-down</t>
        </is>
      </c>
    </row>
    <row r="10">
      <c r="A10" s="23" t="n">
        <v>5</v>
      </c>
      <c r="B10" s="23" t="inlineStr">
        <is>
          <t>Extreme</t>
        </is>
      </c>
      <c r="C10" s="23" t="inlineStr">
        <is>
          <t>Existential financial loss threatening solvency</t>
        </is>
      </c>
      <c r="D10" s="23" t="inlineStr">
        <is>
          <t>&gt;200 bps of CET1</t>
        </is>
      </c>
      <c r="E10" s="23" t="inlineStr">
        <is>
          <t>Systemic event, multiple simultaneous defaults</t>
        </is>
      </c>
    </row>
    <row r="12">
      <c r="A12" s="22" t="inlineStr">
        <is>
          <t>REGULATORY AND LEGAL IMPACT SCALE</t>
        </is>
      </c>
    </row>
    <row r="13">
      <c r="A13" s="17" t="inlineStr">
        <is>
          <t>Score</t>
        </is>
      </c>
      <c r="B13" s="17" t="inlineStr">
        <is>
          <t>Rating</t>
        </is>
      </c>
      <c r="C13" s="17" t="inlineStr">
        <is>
          <t>Description</t>
        </is>
      </c>
      <c r="D13" s="17" t="inlineStr"/>
      <c r="E13" s="17" t="inlineStr"/>
    </row>
    <row r="14">
      <c r="A14" s="23" t="n">
        <v>1</v>
      </c>
      <c r="B14" s="23" t="inlineStr">
        <is>
          <t>Incidental</t>
        </is>
      </c>
      <c r="C14" s="23" t="inlineStr">
        <is>
          <t>Informal supervisory feedback, no action required</t>
        </is>
      </c>
    </row>
    <row r="15">
      <c r="A15" s="23" t="n">
        <v>2</v>
      </c>
      <c r="B15" s="23" t="inlineStr">
        <is>
          <t>Minor</t>
        </is>
      </c>
      <c r="C15" s="23" t="inlineStr">
        <is>
          <t>Formal supervisory finding requiring remediation</t>
        </is>
      </c>
    </row>
    <row r="16">
      <c r="A16" s="23" t="n">
        <v>3</v>
      </c>
      <c r="B16" s="23" t="inlineStr">
        <is>
          <t>Moderate</t>
        </is>
      </c>
      <c r="C16" s="23" t="inlineStr">
        <is>
          <t>Enforcement action, material fine, s166 review</t>
        </is>
      </c>
    </row>
    <row r="17">
      <c r="A17" s="23" t="n">
        <v>4</v>
      </c>
      <c r="B17" s="23" t="inlineStr">
        <is>
          <t>Major</t>
        </is>
      </c>
      <c r="C17" s="23" t="inlineStr">
        <is>
          <t>Significant fine (&gt;1% revenue), restrictions on business activities</t>
        </is>
      </c>
    </row>
    <row r="18">
      <c r="A18" s="23" t="n">
        <v>5</v>
      </c>
      <c r="B18" s="23" t="inlineStr">
        <is>
          <t>Extreme</t>
        </is>
      </c>
      <c r="C18" s="23" t="inlineStr">
        <is>
          <t>Licence revocation, forced restructuring, criminal proceedings</t>
        </is>
      </c>
    </row>
    <row r="20">
      <c r="A20" s="22" t="inlineStr">
        <is>
          <t>REPUTATIONAL IMPACT SCALE</t>
        </is>
      </c>
    </row>
    <row r="21">
      <c r="A21" s="17" t="inlineStr">
        <is>
          <t>Score</t>
        </is>
      </c>
      <c r="B21" s="17" t="inlineStr">
        <is>
          <t>Rating</t>
        </is>
      </c>
      <c r="C21" s="17" t="inlineStr">
        <is>
          <t>Description</t>
        </is>
      </c>
      <c r="D21" s="17" t="inlineStr"/>
      <c r="E21" s="17" t="inlineStr"/>
    </row>
    <row r="22">
      <c r="A22" s="23" t="n">
        <v>1</v>
      </c>
      <c r="B22" s="23" t="inlineStr">
        <is>
          <t>Incidental</t>
        </is>
      </c>
      <c r="C22" s="23" t="inlineStr">
        <is>
          <t>No external awareness; internal learning only</t>
        </is>
      </c>
    </row>
    <row r="23">
      <c r="A23" s="23" t="n">
        <v>2</v>
      </c>
      <c r="B23" s="23" t="inlineStr">
        <is>
          <t>Minor</t>
        </is>
      </c>
      <c r="C23" s="23" t="inlineStr">
        <is>
          <t>Limited trade press coverage; no customer impact</t>
        </is>
      </c>
    </row>
    <row r="24">
      <c r="A24" s="23" t="n">
        <v>3</v>
      </c>
      <c r="B24" s="23" t="inlineStr">
        <is>
          <t>Moderate</t>
        </is>
      </c>
      <c r="C24" s="23" t="inlineStr">
        <is>
          <t>National media coverage; some customer attrition</t>
        </is>
      </c>
    </row>
    <row r="25">
      <c r="A25" s="23" t="n">
        <v>4</v>
      </c>
      <c r="B25" s="23" t="inlineStr">
        <is>
          <t>Major</t>
        </is>
      </c>
      <c r="C25" s="23" t="inlineStr">
        <is>
          <t>Sustained negative media; material customer/investor loss</t>
        </is>
      </c>
    </row>
    <row r="26">
      <c r="A26" s="23" t="n">
        <v>5</v>
      </c>
      <c r="B26" s="23" t="inlineStr">
        <is>
          <t>Extreme</t>
        </is>
      </c>
      <c r="C26" s="23" t="inlineStr">
        <is>
          <t>Systemic loss of confidence; run risk; regulatory intervention</t>
        </is>
      </c>
    </row>
    <row r="28">
      <c r="A28" s="22" t="inlineStr">
        <is>
          <t>LIKELIHOOD SCALE</t>
        </is>
      </c>
    </row>
    <row r="29">
      <c r="A29" s="17" t="inlineStr">
        <is>
          <t>Score</t>
        </is>
      </c>
      <c r="B29" s="17" t="inlineStr">
        <is>
          <t>Rating</t>
        </is>
      </c>
      <c r="C29" s="17" t="inlineStr">
        <is>
          <t>Description</t>
        </is>
      </c>
      <c r="D29" s="17" t="inlineStr">
        <is>
          <t>Probability Anchor</t>
        </is>
      </c>
      <c r="E29" s="17" t="inlineStr">
        <is>
          <t>Time Horizon</t>
        </is>
      </c>
    </row>
    <row r="30">
      <c r="A30" s="23" t="n">
        <v>1</v>
      </c>
      <c r="B30" s="23" t="inlineStr">
        <is>
          <t>Rare</t>
        </is>
      </c>
      <c r="C30" s="23" t="inlineStr">
        <is>
          <t>Highly unlikely to occur in normal conditions</t>
        </is>
      </c>
      <c r="D30" s="23" t="inlineStr">
        <is>
          <t>&lt;1% probability</t>
        </is>
      </c>
      <c r="E30" s="23" t="inlineStr">
        <is>
          <t>&gt;25 years</t>
        </is>
      </c>
    </row>
    <row r="31">
      <c r="A31" s="23" t="n">
        <v>2</v>
      </c>
      <c r="B31" s="23" t="inlineStr">
        <is>
          <t>Unlikely</t>
        </is>
      </c>
      <c r="C31" s="23" t="inlineStr">
        <is>
          <t>Could occur but not expected</t>
        </is>
      </c>
      <c r="D31" s="23" t="inlineStr">
        <is>
          <t>1–10%</t>
        </is>
      </c>
      <c r="E31" s="23" t="inlineStr">
        <is>
          <t>10–25 years</t>
        </is>
      </c>
    </row>
    <row r="32">
      <c r="A32" s="23" t="n">
        <v>3</v>
      </c>
      <c r="B32" s="23" t="inlineStr">
        <is>
          <t>Possible</t>
        </is>
      </c>
      <c r="C32" s="23" t="inlineStr">
        <is>
          <t>Reasonable chance of occurring</t>
        </is>
      </c>
      <c r="D32" s="23" t="inlineStr">
        <is>
          <t>10–40%</t>
        </is>
      </c>
      <c r="E32" s="23" t="inlineStr">
        <is>
          <t>3–10 years</t>
        </is>
      </c>
    </row>
    <row r="33">
      <c r="A33" s="23" t="n">
        <v>4</v>
      </c>
      <c r="B33" s="23" t="inlineStr">
        <is>
          <t>Likely</t>
        </is>
      </c>
      <c r="C33" s="23" t="inlineStr">
        <is>
          <t>Expected to occur in planning horizon</t>
        </is>
      </c>
      <c r="D33" s="23" t="inlineStr">
        <is>
          <t>40–80%</t>
        </is>
      </c>
      <c r="E33" s="23" t="inlineStr">
        <is>
          <t>1–3 years</t>
        </is>
      </c>
    </row>
    <row r="34">
      <c r="A34" s="23" t="n">
        <v>5</v>
      </c>
      <c r="B34" s="23" t="inlineStr">
        <is>
          <t>Almost Certain</t>
        </is>
      </c>
      <c r="C34" s="23" t="inlineStr">
        <is>
          <t>Expected imminently or already occurring</t>
        </is>
      </c>
      <c r="D34" s="23" t="inlineStr">
        <is>
          <t>&gt;80%</t>
        </is>
      </c>
      <c r="E34" s="23" t="inlineStr">
        <is>
          <t>&lt;1 year</t>
        </is>
      </c>
    </row>
    <row r="36">
      <c r="A36" s="22" t="inlineStr">
        <is>
          <t>VULNERABILITY SCALE</t>
        </is>
      </c>
    </row>
    <row r="37">
      <c r="A37" s="17" t="inlineStr">
        <is>
          <t>Score</t>
        </is>
      </c>
      <c r="B37" s="17" t="inlineStr">
        <is>
          <t>Rating</t>
        </is>
      </c>
      <c r="C37" s="17" t="inlineStr">
        <is>
          <t>Description</t>
        </is>
      </c>
      <c r="D37" s="17" t="inlineStr">
        <is>
          <t>Control Anchor</t>
        </is>
      </c>
      <c r="E37" s="17" t="inlineStr"/>
    </row>
    <row r="38">
      <c r="A38" s="23" t="n">
        <v>1</v>
      </c>
      <c r="B38" s="23" t="inlineStr">
        <is>
          <t>Very Low</t>
        </is>
      </c>
      <c r="C38" s="23" t="inlineStr">
        <is>
          <t>Multiple independent controls; tested and proven effective</t>
        </is>
      </c>
      <c r="D38" s="23" t="inlineStr">
        <is>
          <t>Automated, redundant, independently validated</t>
        </is>
      </c>
      <c r="E38" s="23" t="inlineStr"/>
    </row>
    <row r="39">
      <c r="A39" s="23" t="n">
        <v>2</v>
      </c>
      <c r="B39" s="23" t="inlineStr">
        <is>
          <t>Low</t>
        </is>
      </c>
      <c r="C39" s="23" t="inlineStr">
        <is>
          <t>Adequate controls in place and regularly tested</t>
        </is>
      </c>
      <c r="D39" s="23" t="inlineStr">
        <is>
          <t>Documented, tested annually, minor gaps</t>
        </is>
      </c>
      <c r="E39" s="23" t="inlineStr"/>
    </row>
    <row r="40">
      <c r="A40" s="23" t="n">
        <v>3</v>
      </c>
      <c r="B40" s="23" t="inlineStr">
        <is>
          <t>Moderate</t>
        </is>
      </c>
      <c r="C40" s="23" t="inlineStr">
        <is>
          <t>Controls exist but effectiveness uncertain or untested</t>
        </is>
      </c>
      <c r="D40" s="23" t="inlineStr">
        <is>
          <t>In place but not independently tested</t>
        </is>
      </c>
      <c r="E40" s="23" t="inlineStr"/>
    </row>
    <row r="41">
      <c r="A41" s="23" t="n">
        <v>4</v>
      </c>
      <c r="B41" s="23" t="inlineStr">
        <is>
          <t>High</t>
        </is>
      </c>
      <c r="C41" s="23" t="inlineStr">
        <is>
          <t>Material control weaknesses identified</t>
        </is>
      </c>
      <c r="D41" s="23" t="inlineStr">
        <is>
          <t>Known gaps, manual workarounds, audit findings open</t>
        </is>
      </c>
      <c r="E41" s="23" t="inlineStr"/>
    </row>
    <row r="42">
      <c r="A42" s="23" t="n">
        <v>5</v>
      </c>
      <c r="B42" s="23" t="inlineStr">
        <is>
          <t>Very High</t>
        </is>
      </c>
      <c r="C42" s="23" t="inlineStr">
        <is>
          <t>No effective controls or controls have failed</t>
        </is>
      </c>
      <c r="D42" s="23" t="inlineStr">
        <is>
          <t>No controls, failed controls, or deliberately bypassed</t>
        </is>
      </c>
      <c r="E42" s="23" t="inlineStr"/>
    </row>
    <row r="44">
      <c r="A44" s="22" t="inlineStr">
        <is>
          <t>SPEED OF ONSET SCALE</t>
        </is>
      </c>
    </row>
    <row r="45">
      <c r="A45" s="17" t="inlineStr">
        <is>
          <t>Score</t>
        </is>
      </c>
      <c r="B45" s="17" t="inlineStr">
        <is>
          <t>Rating</t>
        </is>
      </c>
      <c r="C45" s="17" t="inlineStr">
        <is>
          <t>Description</t>
        </is>
      </c>
      <c r="D45" s="17" t="inlineStr">
        <is>
          <t>Response Window</t>
        </is>
      </c>
      <c r="E45" s="17" t="inlineStr"/>
    </row>
    <row r="46">
      <c r="A46" s="23" t="n">
        <v>1</v>
      </c>
      <c r="B46" s="23" t="inlineStr">
        <is>
          <t>Very Slow</t>
        </is>
      </c>
      <c r="C46" s="23" t="inlineStr">
        <is>
          <t>Risk materialises over years; ample time to respond</t>
        </is>
      </c>
      <c r="D46" s="23" t="inlineStr">
        <is>
          <t>&gt;2 years</t>
        </is>
      </c>
      <c r="E46" s="23" t="inlineStr"/>
    </row>
    <row r="47">
      <c r="A47" s="23" t="n">
        <v>2</v>
      </c>
      <c r="B47" s="23" t="inlineStr">
        <is>
          <t>Slow</t>
        </is>
      </c>
      <c r="C47" s="23" t="inlineStr">
        <is>
          <t>Risk builds over quarters; time for strategic response</t>
        </is>
      </c>
      <c r="D47" s="23" t="inlineStr">
        <is>
          <t>6 months – 2 years</t>
        </is>
      </c>
      <c r="E47" s="23" t="inlineStr"/>
    </row>
    <row r="48">
      <c r="A48" s="23" t="n">
        <v>3</v>
      </c>
      <c r="B48" s="23" t="inlineStr">
        <is>
          <t>Moderate</t>
        </is>
      </c>
      <c r="C48" s="23" t="inlineStr">
        <is>
          <t>Risk materialises over weeks/months</t>
        </is>
      </c>
      <c r="D48" s="23" t="inlineStr">
        <is>
          <t>1–6 months</t>
        </is>
      </c>
      <c r="E48" s="23" t="inlineStr"/>
    </row>
    <row r="49">
      <c r="A49" s="23" t="n">
        <v>4</v>
      </c>
      <c r="B49" s="23" t="inlineStr">
        <is>
          <t>Fast</t>
        </is>
      </c>
      <c r="C49" s="23" t="inlineStr">
        <is>
          <t>Risk materialises within days</t>
        </is>
      </c>
      <c r="D49" s="23" t="inlineStr">
        <is>
          <t>1–30 days</t>
        </is>
      </c>
      <c r="E49" s="23" t="inlineStr"/>
    </row>
    <row r="50">
      <c r="A50" s="23" t="n">
        <v>5</v>
      </c>
      <c r="B50" s="23" t="inlineStr">
        <is>
          <t>Instantaneous</t>
        </is>
      </c>
      <c r="C50" s="23" t="inlineStr">
        <is>
          <t>Risk materialises with no warning; immediate impact</t>
        </is>
      </c>
      <c r="D50" s="23" t="inlineStr">
        <is>
          <t>&lt;24 hours</t>
        </is>
      </c>
      <c r="E50" s="23" t="inlineStr"/>
    </row>
  </sheetData>
  <conditionalFormatting sqref="A6:A10">
    <cfRule type="cellIs" priority="1" operator="equal" dxfId="0">
      <formula>5</formula>
    </cfRule>
    <cfRule type="cellIs" priority="2" operator="equal" dxfId="1">
      <formula>4</formula>
    </cfRule>
    <cfRule type="cellIs" priority="3" operator="equal" dxfId="2">
      <formula>3</formula>
    </cfRule>
    <cfRule type="cellIs" priority="4" operator="equal" dxfId="3">
      <formula>2</formula>
    </cfRule>
    <cfRule type="cellIs" priority="5" operator="equal" dxfId="4">
      <formula>1</formula>
    </cfRule>
  </conditionalFormatting>
  <conditionalFormatting sqref="A14:A18">
    <cfRule type="cellIs" priority="6" operator="equal" dxfId="0">
      <formula>5</formula>
    </cfRule>
    <cfRule type="cellIs" priority="7" operator="equal" dxfId="1">
      <formula>4</formula>
    </cfRule>
    <cfRule type="cellIs" priority="8" operator="equal" dxfId="2">
      <formula>3</formula>
    </cfRule>
    <cfRule type="cellIs" priority="9" operator="equal" dxfId="3">
      <formula>2</formula>
    </cfRule>
    <cfRule type="cellIs" priority="10" operator="equal" dxfId="4">
      <formula>1</formula>
    </cfRule>
  </conditionalFormatting>
  <conditionalFormatting sqref="A22:A26">
    <cfRule type="cellIs" priority="11" operator="equal" dxfId="0">
      <formula>5</formula>
    </cfRule>
    <cfRule type="cellIs" priority="12" operator="equal" dxfId="1">
      <formula>4</formula>
    </cfRule>
    <cfRule type="cellIs" priority="13" operator="equal" dxfId="2">
      <formula>3</formula>
    </cfRule>
    <cfRule type="cellIs" priority="14" operator="equal" dxfId="3">
      <formula>2</formula>
    </cfRule>
    <cfRule type="cellIs" priority="15" operator="equal" dxfId="4">
      <formula>1</formula>
    </cfRule>
  </conditionalFormatting>
  <conditionalFormatting sqref="A30:A34">
    <cfRule type="cellIs" priority="16" operator="equal" dxfId="0">
      <formula>5</formula>
    </cfRule>
    <cfRule type="cellIs" priority="17" operator="equal" dxfId="1">
      <formula>4</formula>
    </cfRule>
    <cfRule type="cellIs" priority="18" operator="equal" dxfId="2">
      <formula>3</formula>
    </cfRule>
    <cfRule type="cellIs" priority="19" operator="equal" dxfId="3">
      <formula>2</formula>
    </cfRule>
    <cfRule type="cellIs" priority="20" operator="equal" dxfId="4">
      <formula>1</formula>
    </cfRule>
  </conditionalFormatting>
  <conditionalFormatting sqref="A38:A42">
    <cfRule type="cellIs" priority="21" operator="equal" dxfId="0">
      <formula>5</formula>
    </cfRule>
    <cfRule type="cellIs" priority="22" operator="equal" dxfId="1">
      <formula>4</formula>
    </cfRule>
    <cfRule type="cellIs" priority="23" operator="equal" dxfId="2">
      <formula>3</formula>
    </cfRule>
    <cfRule type="cellIs" priority="24" operator="equal" dxfId="3">
      <formula>2</formula>
    </cfRule>
    <cfRule type="cellIs" priority="25" operator="equal" dxfId="4">
      <formula>1</formula>
    </cfRule>
  </conditionalFormatting>
  <conditionalFormatting sqref="A46:A50">
    <cfRule type="cellIs" priority="26" operator="equal" dxfId="0">
      <formula>5</formula>
    </cfRule>
    <cfRule type="cellIs" priority="27" operator="equal" dxfId="1">
      <formula>4</formula>
    </cfRule>
    <cfRule type="cellIs" priority="28" operator="equal" dxfId="2">
      <formula>3</formula>
    </cfRule>
    <cfRule type="cellIs" priority="29" operator="equal" dxfId="3">
      <formula>2</formula>
    </cfRule>
    <cfRule type="cellIs" priority="30" operator="equal" dxfId="4">
      <formula>1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C5A55A"/>
    <outlinePr summaryBelow="1" summaryRight="1"/>
    <pageSetUpPr fitToPage="1"/>
  </sheetPr>
  <dimension ref="A1:E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5" customWidth="1" min="3" max="3"/>
    <col width="55" customWidth="1" min="4" max="4"/>
    <col width="35" customWidth="1" min="5" max="5"/>
  </cols>
  <sheetData>
    <row r="1">
      <c r="A1" s="15" t="inlineStr">
        <is>
          <t>Top-Down SWIFT Workshop — Structure and Guide Words</t>
        </is>
      </c>
    </row>
    <row r="2">
      <c r="A2" s="16" t="inlineStr">
        <is>
          <t>Book Reference: Chapter 6 — Top-Down Identification</t>
        </is>
      </c>
    </row>
    <row r="4">
      <c r="A4" s="22" t="inlineStr">
        <is>
          <t>WORKSHOP STRUCTURE</t>
        </is>
      </c>
    </row>
    <row r="5">
      <c r="A5" s="17" t="inlineStr">
        <is>
          <t>Stage</t>
        </is>
      </c>
      <c r="B5" s="17" t="inlineStr">
        <is>
          <t>Activity</t>
        </is>
      </c>
      <c r="C5" s="17" t="inlineStr">
        <is>
          <t>Duration</t>
        </is>
      </c>
      <c r="D5" s="17" t="inlineStr">
        <is>
          <t>Purpose</t>
        </is>
      </c>
      <c r="E5" s="17" t="inlineStr">
        <is>
          <t>Output</t>
        </is>
      </c>
    </row>
    <row r="6">
      <c r="A6" s="23" t="n">
        <v>1</v>
      </c>
      <c r="B6" s="23" t="inlineStr">
        <is>
          <t>Opening and Context</t>
        </is>
      </c>
      <c r="C6" s="23" t="inlineStr">
        <is>
          <t>30 min</t>
        </is>
      </c>
      <c r="D6" s="23" t="inlineStr">
        <is>
          <t>Present PESTLE findings, internal environment summary, prior cycle results. Set scope and ground rules.</t>
        </is>
      </c>
      <c r="E6" s="23" t="inlineStr">
        <is>
          <t>Shared understanding of current risk landscape</t>
        </is>
      </c>
    </row>
    <row r="7">
      <c r="A7" s="23" t="n">
        <v>2</v>
      </c>
      <c r="B7" s="23" t="inlineStr">
        <is>
          <t>Independent Assessment Review</t>
        </is>
      </c>
      <c r="C7" s="23" t="inlineStr">
        <is>
          <t>30 min</t>
        </is>
      </c>
      <c r="D7" s="23" t="inlineStr">
        <is>
          <t>Compare pre-workshop submissions (Tab 9). Identify common themes, outliers, and blind spots across participants.</t>
        </is>
      </c>
      <c r="E7" s="23" t="inlineStr">
        <is>
          <t>Aggregated view of participant perspectives</t>
        </is>
      </c>
    </row>
    <row r="8">
      <c r="A8" s="23" t="n">
        <v>3</v>
      </c>
      <c r="B8" s="23" t="inlineStr">
        <is>
          <t>SWIFT Systematic Walk-Through</t>
        </is>
      </c>
      <c r="C8" s="23" t="inlineStr">
        <is>
          <t>90 min</t>
        </is>
      </c>
      <c r="D8" s="23" t="inlineStr">
        <is>
          <t>Apply guide words (below) across each L1 risk category using the prompt matrix (Tab 7). Challenge assumptions systematically.</t>
        </is>
      </c>
      <c r="E8" s="23" t="inlineStr">
        <is>
          <t>Comprehensive risk identification across all categories</t>
        </is>
      </c>
    </row>
    <row r="9">
      <c r="A9" s="23" t="n">
        <v>4</v>
      </c>
      <c r="B9" s="23" t="inlineStr">
        <is>
          <t>Emerging Risk Horizon Scan</t>
        </is>
      </c>
      <c r="C9" s="23" t="inlineStr">
        <is>
          <t>30 min</t>
        </is>
      </c>
      <c r="D9" s="23" t="inlineStr">
        <is>
          <t>Identify risks not yet in taxonomy — 1yr, 3yr, 5yr horizons. Use Delphi technique for divergent views.</t>
        </is>
      </c>
      <c r="E9" s="23" t="inlineStr">
        <is>
          <t>Emerging risk candidates for follow-up</t>
        </is>
      </c>
    </row>
    <row r="10">
      <c r="A10" s="23" t="n">
        <v>5</v>
      </c>
      <c r="B10" s="23" t="inlineStr">
        <is>
          <t>Prioritisation and Scoring</t>
        </is>
      </c>
      <c r="C10" s="23" t="inlineStr">
        <is>
          <t>45 min</t>
        </is>
      </c>
      <c r="D10" s="23" t="inlineStr">
        <is>
          <t>Preliminary four-dimensional scoring of identified risks using criteria from Tab 5.</t>
        </is>
      </c>
      <c r="E10" s="23" t="inlineStr">
        <is>
          <t>Ranked principal risk list with initial scores</t>
        </is>
      </c>
    </row>
    <row r="11">
      <c r="A11" s="23" t="n">
        <v>6</v>
      </c>
      <c r="B11" s="23" t="inlineStr">
        <is>
          <t>Wrap-Up and Actions</t>
        </is>
      </c>
      <c r="C11" s="23" t="inlineStr">
        <is>
          <t>15 min</t>
        </is>
      </c>
      <c r="D11" s="23" t="inlineStr">
        <is>
          <t>Assign risk owners, identify gaps requiring further analysis, note disagreements and assumptions.</t>
        </is>
      </c>
      <c r="E11" s="23" t="inlineStr">
        <is>
          <t>Action log, assumption register entries, disagreement log entries</t>
        </is>
      </c>
    </row>
    <row r="14">
      <c r="A14" s="22" t="inlineStr">
        <is>
          <t>SWIFT GUIDE WORDS</t>
        </is>
      </c>
    </row>
    <row r="15">
      <c r="A15" s="17" t="inlineStr">
        <is>
          <t>#</t>
        </is>
      </c>
      <c r="B15" s="17" t="inlineStr">
        <is>
          <t>Guide Word</t>
        </is>
      </c>
      <c r="C15" s="17" t="inlineStr">
        <is>
          <t>Purpose</t>
        </is>
      </c>
      <c r="D15" s="17" t="inlineStr">
        <is>
          <t>Example Prompt</t>
        </is>
      </c>
      <c r="E15" s="17" t="inlineStr"/>
    </row>
    <row r="16">
      <c r="A16" s="23" t="n">
        <v>1</v>
      </c>
      <c r="B16" s="23" t="inlineStr">
        <is>
          <t>What if...</t>
        </is>
      </c>
      <c r="C16" s="23" t="inlineStr">
        <is>
          <t>Explore deviation from expected conditions</t>
        </is>
      </c>
      <c r="D16" s="23" t="inlineStr">
        <is>
          <t>What if interest rates rise 300bps in 6 months?</t>
        </is>
      </c>
      <c r="E16" s="23" t="inlineStr"/>
    </row>
    <row r="17">
      <c r="A17" s="23" t="n">
        <v>2</v>
      </c>
      <c r="B17" s="23" t="inlineStr">
        <is>
          <t>What would happen if...</t>
        </is>
      </c>
      <c r="C17" s="23" t="inlineStr">
        <is>
          <t>Explore consequences of specific events</t>
        </is>
      </c>
      <c r="D17" s="23" t="inlineStr">
        <is>
          <t>What would happen if our largest counterparty defaulted?</t>
        </is>
      </c>
      <c r="E17" s="23" t="inlineStr"/>
    </row>
    <row r="18">
      <c r="A18" s="23" t="n">
        <v>3</v>
      </c>
      <c r="B18" s="23" t="inlineStr">
        <is>
          <t>Could someone...</t>
        </is>
      </c>
      <c r="C18" s="23" t="inlineStr">
        <is>
          <t>Explore internal actor risks (fraud, error, conduct)</t>
        </is>
      </c>
      <c r="D18" s="23" t="inlineStr">
        <is>
          <t>Could someone bypass trade confirmation controls?</t>
        </is>
      </c>
      <c r="E18" s="23" t="inlineStr"/>
    </row>
    <row r="19">
      <c r="A19" s="23" t="n">
        <v>4</v>
      </c>
      <c r="B19" s="23" t="inlineStr">
        <is>
          <t>Could something...</t>
        </is>
      </c>
      <c r="C19" s="23" t="inlineStr">
        <is>
          <t>Explore external/systemic threats</t>
        </is>
      </c>
      <c r="D19" s="23" t="inlineStr">
        <is>
          <t>Could something disrupt our primary data centre for &gt;24hrs?</t>
        </is>
      </c>
      <c r="E19" s="23" t="inlineStr"/>
    </row>
    <row r="20">
      <c r="A20" s="23" t="n">
        <v>5</v>
      </c>
      <c r="B20" s="23" t="inlineStr">
        <is>
          <t>Has anyone considered...</t>
        </is>
      </c>
      <c r="C20" s="23" t="inlineStr">
        <is>
          <t>Surface assumptions and blind spots</t>
        </is>
      </c>
      <c r="D20" s="23" t="inlineStr">
        <is>
          <t>Has anyone considered our exposure to a single cloud provider?</t>
        </is>
      </c>
      <c r="E20" s="23" t="inlineStr"/>
    </row>
    <row r="21">
      <c r="A21" s="23" t="n">
        <v>6</v>
      </c>
      <c r="B21" s="23" t="inlineStr">
        <is>
          <t>What is the worst...</t>
        </is>
      </c>
      <c r="C21" s="23" t="inlineStr">
        <is>
          <t>Explore tail risks and extreme scenarios</t>
        </is>
      </c>
      <c r="D21" s="23" t="inlineStr">
        <is>
          <t>What is the worst that could happen if this control failed completely?</t>
        </is>
      </c>
      <c r="E21" s="23" t="inlineStr"/>
    </row>
    <row r="22">
      <c r="A22" s="23" t="n">
        <v>7</v>
      </c>
      <c r="B22" s="23" t="inlineStr">
        <is>
          <t>What changed since...</t>
        </is>
      </c>
      <c r="C22" s="23" t="inlineStr">
        <is>
          <t>Identify newly emerged or evolved risks</t>
        </is>
      </c>
      <c r="D22" s="23" t="inlineStr">
        <is>
          <t>What changed since last year that could affect our credit portfolio?</t>
        </is>
      </c>
      <c r="E22" s="23" t="inlineStr"/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C5A55A"/>
    <outlinePr summaryBelow="1" summaryRight="1"/>
    <pageSetUpPr fitToPage="1"/>
  </sheetPr>
  <dimension ref="A1:F15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5" t="inlineStr">
        <is>
          <t>SWIFT Prompt Matrix</t>
        </is>
      </c>
    </row>
    <row r="2">
      <c r="A2" s="16" t="inlineStr">
        <is>
          <t>Book Reference: Chapter 6 — Customise for your institution's risk profile</t>
        </is>
      </c>
    </row>
    <row r="3">
      <c r="A3" s="14" t="inlineStr">
        <is>
          <t>Populate this matrix before the workshop. Each cell contains a tailored prompt for that risk/guide-word combination.</t>
        </is>
      </c>
    </row>
    <row r="5">
      <c r="A5" s="17" t="inlineStr">
        <is>
          <t>L1 Risk Category ↓ / Guide Word →</t>
        </is>
      </c>
      <c r="B5" s="17" t="inlineStr">
        <is>
          <t>What if...</t>
        </is>
      </c>
      <c r="C5" s="17" t="inlineStr">
        <is>
          <t>Could someone...</t>
        </is>
      </c>
      <c r="D5" s="17" t="inlineStr">
        <is>
          <t>Could something...</t>
        </is>
      </c>
      <c r="E5" s="17" t="inlineStr">
        <is>
          <t>Has anyone considered...</t>
        </is>
      </c>
      <c r="F5" s="17" t="inlineStr">
        <is>
          <t>What is the worst...</t>
        </is>
      </c>
    </row>
    <row r="6">
      <c r="A6" s="24" t="inlineStr">
        <is>
          <t>Credit Risk</t>
        </is>
      </c>
      <c r="B6" s="18" t="inlineStr">
        <is>
          <t>What if our top 5 counterparties were all downgraded 2 notches simultaneously?</t>
        </is>
      </c>
      <c r="C6" s="18" t="inlineStr">
        <is>
          <t>Could someone approve a credit limit breach without proper escalation?</t>
        </is>
      </c>
      <c r="D6" s="18" t="inlineStr">
        <is>
          <t>Could something cause correlated defaults across our CRE portfolio?</t>
        </is>
      </c>
      <c r="E6" s="18" t="inlineStr">
        <is>
          <t>Has anyone considered the second-order credit impact of a major cyber event at a clearing house?</t>
        </is>
      </c>
      <c r="F6" s="18" t="inlineStr">
        <is>
          <t>What is the worst outcome if our largest single-name exposure defaulted with zero recovery?</t>
        </is>
      </c>
    </row>
    <row r="7">
      <c r="A7" s="24" t="inlineStr">
        <is>
          <t>Market Risk</t>
        </is>
      </c>
      <c r="B7" s="18" t="inlineStr">
        <is>
          <t>What if yields inverted 200bps more than current curve implies?</t>
        </is>
      </c>
      <c r="C7" s="18" t="inlineStr">
        <is>
          <t>Could someone mismark a position to hide losses?</t>
        </is>
      </c>
      <c r="D7" s="18" t="inlineStr">
        <is>
          <t>Could something trigger a liquidity gap in our bond portfolio?</t>
        </is>
      </c>
      <c r="E7" s="18" t="inlineStr">
        <is>
          <t>Has anyone considered basis risk between our hedges and underlying exposures?</t>
        </is>
      </c>
      <c r="F7" s="18" t="inlineStr">
        <is>
          <t>What is the worst impact of a simultaneous rates + FX + equity shock?</t>
        </is>
      </c>
    </row>
    <row r="8">
      <c r="A8" s="24" t="inlineStr">
        <is>
          <t>Operational Risk</t>
        </is>
      </c>
      <c r="B8" s="18" t="inlineStr">
        <is>
          <t>What if our core banking system was unavailable for 72 hours?</t>
        </is>
      </c>
      <c r="C8" s="18" t="inlineStr">
        <is>
          <t>Could someone exfiltrate customer data without detection?</t>
        </is>
      </c>
      <c r="D8" s="18" t="inlineStr">
        <is>
          <t>Could something cause a complete failure of our disaster recovery?</t>
        </is>
      </c>
      <c r="E8" s="18" t="inlineStr">
        <is>
          <t>Has anyone considered the operational risk of our dependency on 3 key vendors?</t>
        </is>
      </c>
      <c r="F8" s="18" t="inlineStr">
        <is>
          <t>What is the worst outcome of a ransomware attack during year-end processing?</t>
        </is>
      </c>
    </row>
    <row r="9">
      <c r="A9" s="24" t="inlineStr">
        <is>
          <t>Liquidity Risk</t>
        </is>
      </c>
      <c r="B9" s="25" t="n"/>
      <c r="C9" s="25" t="n"/>
      <c r="D9" s="25" t="n"/>
      <c r="E9" s="25" t="n"/>
      <c r="F9" s="25" t="n"/>
    </row>
    <row r="10">
      <c r="A10" s="24" t="inlineStr">
        <is>
          <t>Strategic Risk</t>
        </is>
      </c>
      <c r="B10" s="25" t="n"/>
      <c r="C10" s="25" t="n"/>
      <c r="D10" s="25" t="n"/>
      <c r="E10" s="25" t="n"/>
      <c r="F10" s="25" t="n"/>
    </row>
    <row r="11">
      <c r="A11" s="24" t="inlineStr">
        <is>
          <t>Conduct Risk</t>
        </is>
      </c>
      <c r="B11" s="25" t="n"/>
      <c r="C11" s="25" t="n"/>
      <c r="D11" s="25" t="n"/>
      <c r="E11" s="25" t="n"/>
      <c r="F11" s="25" t="n"/>
    </row>
    <row r="12">
      <c r="A12" s="24" t="inlineStr">
        <is>
          <t>Compliance Risk</t>
        </is>
      </c>
      <c r="B12" s="25" t="n"/>
      <c r="C12" s="25" t="n"/>
      <c r="D12" s="25" t="n"/>
      <c r="E12" s="25" t="n"/>
      <c r="F12" s="25" t="n"/>
    </row>
    <row r="13">
      <c r="A13" s="24" t="inlineStr">
        <is>
          <t>Technology / Cyber Risk</t>
        </is>
      </c>
      <c r="B13" s="25" t="n"/>
      <c r="C13" s="25" t="n"/>
      <c r="D13" s="25" t="n"/>
      <c r="E13" s="25" t="n"/>
      <c r="F13" s="25" t="n"/>
    </row>
    <row r="14">
      <c r="A14" s="24" t="inlineStr">
        <is>
          <t>Reputational Risk</t>
        </is>
      </c>
      <c r="B14" s="25" t="n"/>
      <c r="C14" s="25" t="n"/>
      <c r="D14" s="25" t="n"/>
      <c r="E14" s="25" t="n"/>
      <c r="F14" s="25" t="n"/>
    </row>
    <row r="15">
      <c r="A15" s="24" t="inlineStr">
        <is>
          <t>Climate / ESG Risk</t>
        </is>
      </c>
      <c r="B15" s="25" t="n"/>
      <c r="C15" s="25" t="n"/>
      <c r="D15" s="25" t="n"/>
      <c r="E15" s="25" t="n"/>
      <c r="F15" s="25" t="n"/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C5A55A"/>
    <outlinePr summaryBelow="1" summaryRight="1"/>
    <pageSetUpPr fitToPage="1"/>
  </sheetPr>
  <dimension ref="A1:K10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30" customWidth="1" min="4" max="4"/>
    <col width="30" customWidth="1" min="5" max="5"/>
    <col width="25" customWidth="1" min="6" max="6"/>
    <col width="30" customWidth="1" min="7" max="7"/>
    <col width="18" customWidth="1" min="8" max="8"/>
    <col width="25" customWidth="1" min="9" max="9"/>
    <col width="12" customWidth="1" min="10" max="10"/>
    <col width="25" customWidth="1" min="11" max="11"/>
  </cols>
  <sheetData>
    <row r="1">
      <c r="A1" s="15" t="inlineStr">
        <is>
          <t>Standardised Bottom-Up Risk Assessment Template (11 Fields)</t>
        </is>
      </c>
    </row>
    <row r="2">
      <c r="A2" s="16" t="inlineStr">
        <is>
          <t>Book Reference: Chapter 7 — Bottom-Up Identification</t>
        </is>
      </c>
    </row>
    <row r="3">
      <c r="A3" s="14" t="inlineStr">
        <is>
          <t>Each business unit completes one row per risk. This is the standardised submission format.</t>
        </is>
      </c>
    </row>
    <row r="5">
      <c r="A5" s="17" t="inlineStr">
        <is>
          <t>Risk ID</t>
        </is>
      </c>
      <c r="B5" s="17" t="inlineStr">
        <is>
          <t>Taxonomy (L1/L2)</t>
        </is>
      </c>
      <c r="C5" s="17" t="inlineStr">
        <is>
          <t>Risk Definition</t>
        </is>
      </c>
      <c r="D5" s="17" t="inlineStr">
        <is>
          <t>Direct Drivers</t>
        </is>
      </c>
      <c r="E5" s="17" t="inlineStr">
        <is>
          <t>Indirect Drivers</t>
        </is>
      </c>
      <c r="F5" s="17" t="inlineStr">
        <is>
          <t>Quantitative Metrics</t>
        </is>
      </c>
      <c r="G5" s="17" t="inlineStr">
        <is>
          <t>Current Controls</t>
        </is>
      </c>
      <c r="H5" s="17" t="inlineStr">
        <is>
          <t>Risk Owner</t>
        </is>
      </c>
      <c r="I5" s="17" t="inlineStr">
        <is>
          <t>Emerging Risk Indicators</t>
        </is>
      </c>
      <c r="J5" s="17" t="inlineStr">
        <is>
          <t>Data Quality</t>
        </is>
      </c>
      <c r="K5" s="17" t="inlineStr">
        <is>
          <t>Qualitative Notes</t>
        </is>
      </c>
    </row>
    <row r="6">
      <c r="A6" s="18" t="inlineStr">
        <is>
          <t>CR-001</t>
        </is>
      </c>
      <c r="B6" s="18" t="inlineStr">
        <is>
          <t>Credit / Counterparty</t>
        </is>
      </c>
      <c r="C6" s="18" t="inlineStr">
        <is>
          <t>Risk of loss from counterparty default on OTC derivative obligations</t>
        </is>
      </c>
      <c r="D6" s="18" t="inlineStr">
        <is>
          <t>Counterparty credit deterioration, wrong-way risk, collateral disputes</t>
        </is>
      </c>
      <c r="E6" s="18" t="inlineStr">
        <is>
          <t>Market volatility increasing exposure at default, correlation breakdown in stressed markets</t>
        </is>
      </c>
      <c r="F6" s="18" t="inlineStr">
        <is>
          <t>Current exposure: $2.1B gross, $0.8B net of collateral</t>
        </is>
      </c>
      <c r="G6" s="18" t="inlineStr">
        <is>
          <t>Daily margining, ISDA CSAs, credit limits, CVA desk hedging</t>
        </is>
      </c>
      <c r="H6" s="18" t="inlineStr">
        <is>
          <t>Head of Credit Risk</t>
        </is>
      </c>
      <c r="I6" s="18" t="inlineStr">
        <is>
          <t>Widening CDS spreads on top 10 counterparties</t>
        </is>
      </c>
      <c r="J6" s="18" t="inlineStr">
        <is>
          <t>High</t>
        </is>
      </c>
      <c r="K6" s="18" t="inlineStr">
        <is>
          <t>Concentration in energy sector counterparties increasing</t>
        </is>
      </c>
    </row>
    <row r="7">
      <c r="A7" s="18" t="inlineStr">
        <is>
          <t>MR-001</t>
        </is>
      </c>
      <c r="B7" s="18" t="inlineStr">
        <is>
          <t>Market / Interest Rate</t>
        </is>
      </c>
      <c r="C7" s="18" t="inlineStr">
        <is>
          <t>Risk of loss from adverse movements in interest rates across the banking book</t>
        </is>
      </c>
      <c r="D7" s="18" t="inlineStr">
        <is>
          <t>Central bank policy changes, inflation expectations, yield curve shifts</t>
        </is>
      </c>
      <c r="E7" s="18" t="inlineStr">
        <is>
          <t>Duration mismatch between assets and liabilities, basis risk between hedges and exposures</t>
        </is>
      </c>
      <c r="F7" s="18" t="inlineStr">
        <is>
          <t>EVE sensitivity: -$180M per +100bps parallel shift; NII at risk: $45M</t>
        </is>
      </c>
      <c r="G7" s="18" t="inlineStr">
        <is>
          <t>Duration limits, hedging programme, ALM committee oversight, monthly NII forecasts</t>
        </is>
      </c>
      <c r="H7" s="18" t="inlineStr">
        <is>
          <t>Head of Market Risk</t>
        </is>
      </c>
      <c r="I7" s="18" t="inlineStr">
        <is>
          <t>Forward curve steepening beyond model assumptions</t>
        </is>
      </c>
      <c r="J7" s="18" t="inlineStr">
        <is>
          <t>High</t>
        </is>
      </c>
      <c r="K7" s="18" t="inlineStr">
        <is>
          <t>Model assumptions for deposit behavioural maturity under review</t>
        </is>
      </c>
    </row>
    <row r="8">
      <c r="A8" s="18" t="inlineStr">
        <is>
          <t>OR-001</t>
        </is>
      </c>
      <c r="B8" s="18" t="inlineStr">
        <is>
          <t>Operational / Technology</t>
        </is>
      </c>
      <c r="C8" s="18" t="inlineStr">
        <is>
          <t>Risk of loss from failure or compromise of critical technology infrastructure</t>
        </is>
      </c>
      <c r="D8" s="18" t="inlineStr">
        <is>
          <t>Ageing infrastructure, cyber threat landscape, third-party dependencies</t>
        </is>
      </c>
      <c r="E8" s="18" t="inlineStr">
        <is>
          <t>Regulatory expectations (DORA), reputational contagion from peer incidents</t>
        </is>
      </c>
      <c r="F8" s="18" t="inlineStr">
        <is>
          <t>System availability: 99.92% (target 99.95%); 3 P1 incidents in past 12 months</t>
        </is>
      </c>
      <c r="G8" s="18" t="inlineStr">
        <is>
          <t>Redundant data centres, 24/7 monitoring, annual DR testing, penetration testing</t>
        </is>
      </c>
      <c r="H8" s="18" t="inlineStr">
        <is>
          <t>CTO / Head of IT Risk</t>
        </is>
      </c>
      <c r="I8" s="18" t="inlineStr">
        <is>
          <t>Increasing frequency of phishing attempts; vendor patch delays</t>
        </is>
      </c>
      <c r="J8" s="18" t="inlineStr">
        <is>
          <t>Medium</t>
        </is>
      </c>
      <c r="K8" s="18" t="inlineStr">
        <is>
          <t>DR test in Q3 revealed 4-hour gap in trade capture failover</t>
        </is>
      </c>
    </row>
    <row r="9">
      <c r="A9" s="18" t="inlineStr">
        <is>
          <t>LR-001</t>
        </is>
      </c>
      <c r="B9" s="18" t="inlineStr">
        <is>
          <t>Liquidity / Funding</t>
        </is>
      </c>
      <c r="C9" s="18" t="inlineStr">
        <is>
          <t>Risk of inability to meet payment obligations as they fall due without incurring unacceptable losses</t>
        </is>
      </c>
      <c r="D9" s="18" t="inlineStr">
        <is>
          <t>Wholesale funding maturity concentration, deposit outflow sensitivity</t>
        </is>
      </c>
      <c r="E9" s="18" t="inlineStr">
        <is>
          <t>Rating downgrade triggering collateral calls, market-wide liquidity stress</t>
        </is>
      </c>
      <c r="F9" s="18" t="inlineStr">
        <is>
          <t>LCR: 135% (min 100%); NSFR: 112%; survival horizon: 92 days</t>
        </is>
      </c>
      <c r="G9" s="18" t="inlineStr">
        <is>
          <t>Liquidity buffer (HQLA), contingency funding plan, diversified funding sources</t>
        </is>
      </c>
      <c r="H9" s="18" t="inlineStr">
        <is>
          <t>Group Treasurer</t>
        </is>
      </c>
      <c r="I9" s="18" t="inlineStr">
        <is>
          <t>Wholesale funding renewal rates declining; deposit beta increasing</t>
        </is>
      </c>
      <c r="J9" s="18" t="inlineStr">
        <is>
          <t>High</t>
        </is>
      </c>
      <c r="K9" s="18" t="inlineStr">
        <is>
          <t>Upcoming maturity wall: $3.2B in wholesale funding maturing Q2</t>
        </is>
      </c>
    </row>
    <row r="10">
      <c r="A10" s="18" t="inlineStr">
        <is>
          <t>SR-001</t>
        </is>
      </c>
      <c r="B10" s="18" t="inlineStr">
        <is>
          <t>Strategic / Business Model</t>
        </is>
      </c>
      <c r="C10" s="18" t="inlineStr">
        <is>
          <t>Risk that revenue concentration in a single product line creates earnings volatility</t>
        </is>
      </c>
      <c r="D10" s="18" t="inlineStr">
        <is>
          <t>Mortgage lending represents 62% of net interest income; competitive pressure</t>
        </is>
      </c>
      <c r="E10" s="18" t="inlineStr">
        <is>
          <t>Fintech disruption, changing customer preferences, regulatory capital changes</t>
        </is>
      </c>
      <c r="F10" s="18" t="inlineStr">
        <is>
          <t>Mortgage NII: $420M of $680M total; HHI concentration index: 0.42</t>
        </is>
      </c>
      <c r="G10" s="18" t="inlineStr">
        <is>
          <t>Strategic planning process, product diversification targets, competitor monitoring</t>
        </is>
      </c>
      <c r="H10" s="18" t="inlineStr">
        <is>
          <t>CEO / Head of Strategy</t>
        </is>
      </c>
      <c r="I10" s="18" t="inlineStr">
        <is>
          <t>Fintech mortgage market share growing 3% p.a.</t>
        </is>
      </c>
      <c r="J10" s="18" t="inlineStr">
        <is>
          <t>Medium</t>
        </is>
      </c>
      <c r="K10" s="18" t="inlineStr">
        <is>
          <t>Board has approved diversification strategy but execution is 18 months behind plan</t>
        </is>
      </c>
    </row>
  </sheetData>
  <autoFilter ref="A5:K5"/>
  <dataValidations count="1">
    <dataValidation sqref="J6:J200" showDropDown="0" showInputMessage="0" showErrorMessage="0" allowBlank="1" errorTitle="Invalid Entry" error="Please select from the list" type="list">
      <formula1>"High,Medium,Low,Very Low"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C5A55A"/>
    <outlinePr summaryBelow="1" summaryRight="1"/>
    <pageSetUpPr fitToPage="1"/>
  </sheetPr>
  <dimension ref="A1:E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22" customWidth="1" min="3" max="3"/>
    <col width="45" customWidth="1" min="4" max="4"/>
    <col width="15" customWidth="1" min="5" max="5"/>
  </cols>
  <sheetData>
    <row r="1">
      <c r="A1" s="15" t="inlineStr">
        <is>
          <t>Pre-Workshop Independent Assessment</t>
        </is>
      </c>
    </row>
    <row r="2">
      <c r="A2" s="16" t="inlineStr">
        <is>
          <t>Book Reference: Chapter 6 — Each participant completes before the workshop</t>
        </is>
      </c>
    </row>
    <row r="3">
      <c r="A3" s="14" t="inlineStr">
        <is>
          <t>List your top 10 risks independently. Do not discuss with other participants before the workshop.</t>
        </is>
      </c>
    </row>
    <row r="4">
      <c r="A4" s="26" t="inlineStr">
        <is>
          <t>Participant Name:</t>
        </is>
      </c>
      <c r="B4" s="25" t="n"/>
    </row>
    <row r="6">
      <c r="A6" s="17" t="inlineStr">
        <is>
          <t>Rank</t>
        </is>
      </c>
      <c r="B6" s="17" t="inlineStr">
        <is>
          <t>Risk Description</t>
        </is>
      </c>
      <c r="C6" s="17" t="inlineStr">
        <is>
          <t>Taxonomy Category</t>
        </is>
      </c>
      <c r="D6" s="17" t="inlineStr">
        <is>
          <t>Why This Risk Now?</t>
        </is>
      </c>
      <c r="E6" s="17" t="inlineStr">
        <is>
          <t>Confidence</t>
        </is>
      </c>
    </row>
    <row r="7">
      <c r="A7" s="18" t="n">
        <v>1</v>
      </c>
      <c r="B7" s="18" t="inlineStr">
        <is>
          <t>Commercial real estate credit losses accelerating</t>
        </is>
      </c>
      <c r="C7" s="18" t="inlineStr">
        <is>
          <t>Credit / Concentration</t>
        </is>
      </c>
      <c r="D7" s="18" t="inlineStr">
        <is>
          <t>Rising rates + remote work reducing occupancy; US regional bank failures showed contagion pattern</t>
        </is>
      </c>
      <c r="E7" s="18" t="inlineStr">
        <is>
          <t>High</t>
        </is>
      </c>
    </row>
    <row r="8">
      <c r="A8" s="18" t="n">
        <v>2</v>
      </c>
      <c r="B8" s="18" t="inlineStr">
        <is>
          <t>Cyber attack on payment infrastructure</t>
        </is>
      </c>
      <c r="C8" s="18" t="inlineStr">
        <is>
          <t>Operational / Technology</t>
        </is>
      </c>
      <c r="D8" s="18" t="inlineStr">
        <is>
          <t>Increasing sophistication of attacks; DORA compliance deadline approaching; peer incidents in 2025</t>
        </is>
      </c>
      <c r="E8" s="18" t="inlineStr">
        <is>
          <t>High</t>
        </is>
      </c>
    </row>
    <row r="9">
      <c r="A9" s="18" t="n">
        <v>3</v>
      </c>
      <c r="B9" s="18" t="inlineStr">
        <is>
          <t>Interest rate model risk (deposit behavioural assumptions)</t>
        </is>
      </c>
      <c r="C9" s="18" t="inlineStr">
        <is>
          <t>Market / Model Risk</t>
        </is>
      </c>
      <c r="D9" s="18" t="inlineStr">
        <is>
          <t>SVB demonstrated that deposit stability assumptions fail under stress; our models not yet recalibrated</t>
        </is>
      </c>
      <c r="E9" s="18" t="inlineStr">
        <is>
          <t>Medium</t>
        </is>
      </c>
    </row>
    <row r="10">
      <c r="A10" s="18" t="n">
        <v>4</v>
      </c>
      <c r="B10" s="18" t="inlineStr">
        <is>
          <t>Wholesale funding concentration</t>
        </is>
      </c>
      <c r="C10" s="18" t="inlineStr">
        <is>
          <t>Liquidity / Funding</t>
        </is>
      </c>
      <c r="D10" s="18" t="inlineStr">
        <is>
          <t>$3.2B maturity wall in Q2; credit spreads widening; potential rating downgrade under review</t>
        </is>
      </c>
      <c r="E10" s="18" t="inlineStr">
        <is>
          <t>High</t>
        </is>
      </c>
    </row>
    <row r="11">
      <c r="A11" s="27" t="n">
        <v>5</v>
      </c>
      <c r="B11" s="25" t="n"/>
      <c r="C11" s="25" t="n"/>
      <c r="D11" s="25" t="n"/>
      <c r="E11" s="25" t="n"/>
    </row>
    <row r="12">
      <c r="A12" s="27" t="n">
        <v>6</v>
      </c>
      <c r="B12" s="25" t="n"/>
      <c r="C12" s="25" t="n"/>
      <c r="D12" s="25" t="n"/>
      <c r="E12" s="25" t="n"/>
    </row>
    <row r="13">
      <c r="A13" s="27" t="n">
        <v>7</v>
      </c>
      <c r="B13" s="25" t="n"/>
      <c r="C13" s="25" t="n"/>
      <c r="D13" s="25" t="n"/>
      <c r="E13" s="25" t="n"/>
    </row>
    <row r="14">
      <c r="A14" s="27" t="n">
        <v>8</v>
      </c>
      <c r="B14" s="25" t="n"/>
      <c r="C14" s="25" t="n"/>
      <c r="D14" s="25" t="n"/>
      <c r="E14" s="25" t="n"/>
    </row>
    <row r="15">
      <c r="A15" s="27" t="n">
        <v>9</v>
      </c>
      <c r="B15" s="25" t="n"/>
      <c r="C15" s="25" t="n"/>
      <c r="D15" s="25" t="n"/>
      <c r="E15" s="25" t="n"/>
    </row>
    <row r="16">
      <c r="A16" s="27" t="n">
        <v>10</v>
      </c>
      <c r="B16" s="25" t="n"/>
      <c r="C16" s="25" t="n"/>
      <c r="D16" s="25" t="n"/>
      <c r="E16" s="25" t="n"/>
    </row>
  </sheetData>
  <dataValidations count="1">
    <dataValidation sqref="E7:E16" showDropDown="0" showInputMessage="0" showErrorMessage="0" allowBlank="1" errorTitle="Invalid Entry" error="Please select from the list" type="list">
      <formula1>"High,Medium,Low"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2A7F7F"/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8" customWidth="1" min="4" max="4"/>
    <col width="35" customWidth="1" min="5" max="5"/>
    <col width="20" customWidth="1" min="6" max="6"/>
    <col width="15" customWidth="1" min="7" max="7"/>
  </cols>
  <sheetData>
    <row r="1">
      <c r="A1" s="15" t="inlineStr">
        <is>
          <t>Reconciliation Gap Analysis</t>
        </is>
      </c>
    </row>
    <row r="2">
      <c r="A2" s="16" t="inlineStr">
        <is>
          <t>Book Reference: Chapter 8 — Reconciliation and Enterprise Portfolio View</t>
        </is>
      </c>
    </row>
    <row r="4">
      <c r="A4" s="22" t="inlineStr">
        <is>
          <t>TOP-DOWN GAPS (risks in workshop not in bottom-up submissions)</t>
        </is>
      </c>
    </row>
    <row r="5">
      <c r="A5" s="17" t="inlineStr">
        <is>
          <t>Risk ID</t>
        </is>
      </c>
      <c r="B5" s="17" t="inlineStr">
        <is>
          <t>Risk Description</t>
        </is>
      </c>
      <c r="C5" s="17" t="inlineStr">
        <is>
          <t>Source</t>
        </is>
      </c>
      <c r="D5" s="17" t="inlineStr">
        <is>
          <t>Gap Type</t>
        </is>
      </c>
      <c r="E5" s="17" t="inlineStr">
        <is>
          <t>Resolution</t>
        </is>
      </c>
      <c r="F5" s="17" t="inlineStr">
        <is>
          <t>Assigned Owner</t>
        </is>
      </c>
      <c r="G5" s="17" t="inlineStr">
        <is>
          <t>Status</t>
        </is>
      </c>
    </row>
    <row r="6">
      <c r="A6" s="18" t="inlineStr">
        <is>
          <t>TD-001</t>
        </is>
      </c>
      <c r="B6" s="18" t="inlineStr">
        <is>
          <t>Cross-portfolio correlation risk in stressed markets</t>
        </is>
      </c>
      <c r="C6" s="18" t="inlineStr">
        <is>
          <t>Top-Down</t>
        </is>
      </c>
      <c r="D6" s="18" t="inlineStr">
        <is>
          <t>Blind Spot</t>
        </is>
      </c>
      <c r="E6" s="18" t="inlineStr">
        <is>
          <t>BUs assessed individual risks but not portfolio-level interaction; adding to BU templates for next cycle</t>
        </is>
      </c>
      <c r="F6" s="18" t="inlineStr">
        <is>
          <t>Head of Credit Risk</t>
        </is>
      </c>
      <c r="G6" s="18" t="inlineStr">
        <is>
          <t>In Progress</t>
        </is>
      </c>
    </row>
    <row r="7">
      <c r="A7" s="18" t="inlineStr">
        <is>
          <t>TD-002</t>
        </is>
      </c>
      <c r="B7" s="18" t="inlineStr">
        <is>
          <t>Regulatory change risk from Basel 3.1 implementation</t>
        </is>
      </c>
      <c r="C7" s="18" t="inlineStr">
        <is>
          <t>Top-Down</t>
        </is>
      </c>
      <c r="D7" s="18" t="inlineStr">
        <is>
          <t>Scope Gap</t>
        </is>
      </c>
      <c r="E7" s="18" t="inlineStr">
        <is>
          <t>Compliance team did not include in BU submissions; assigned to Head of Regulatory Affairs</t>
        </is>
      </c>
      <c r="F7" s="18" t="inlineStr">
        <is>
          <t>Head of Compliance</t>
        </is>
      </c>
      <c r="G7" s="18" t="inlineStr">
        <is>
          <t>Open</t>
        </is>
      </c>
    </row>
    <row r="8">
      <c r="A8" s="18" t="inlineStr">
        <is>
          <t>TD-003</t>
        </is>
      </c>
      <c r="B8" s="18" t="inlineStr">
        <is>
          <t>Reputational risk from ESG criticism of fossil fuel lending</t>
        </is>
      </c>
      <c r="C8" s="18" t="inlineStr">
        <is>
          <t>Top-Down</t>
        </is>
      </c>
      <c r="D8" s="18" t="inlineStr">
        <is>
          <t>Blind Spot</t>
        </is>
      </c>
      <c r="E8" s="18" t="inlineStr">
        <is>
          <t>Not captured by any BU; sustainability team to own going forward</t>
        </is>
      </c>
      <c r="F8" s="18" t="inlineStr">
        <is>
          <t>Head of Sustainability</t>
        </is>
      </c>
      <c r="G8" s="18" t="inlineStr">
        <is>
          <t>In Progress</t>
        </is>
      </c>
    </row>
    <row r="18">
      <c r="A18" s="22" t="inlineStr">
        <is>
          <t>BOTTOM-UP GAPS (risks in submissions not in workshop)</t>
        </is>
      </c>
    </row>
    <row r="19">
      <c r="A19" s="17" t="inlineStr">
        <is>
          <t>Risk ID</t>
        </is>
      </c>
      <c r="B19" s="17" t="inlineStr">
        <is>
          <t>Risk Description</t>
        </is>
      </c>
      <c r="C19" s="17" t="inlineStr">
        <is>
          <t>Business Unit</t>
        </is>
      </c>
      <c r="D19" s="17" t="inlineStr">
        <is>
          <t>Gap Type</t>
        </is>
      </c>
      <c r="E19" s="17" t="inlineStr">
        <is>
          <t>Escalation Required?</t>
        </is>
      </c>
      <c r="F19" s="17" t="inlineStr">
        <is>
          <t>Resolution</t>
        </is>
      </c>
      <c r="G19" s="17" t="inlineStr">
        <is>
          <t>Status</t>
        </is>
      </c>
    </row>
    <row r="20">
      <c r="A20" s="18" t="inlineStr">
        <is>
          <t>BU-001</t>
        </is>
      </c>
      <c r="B20" s="18" t="inlineStr">
        <is>
          <t>Key person dependency in quantitative risk team</t>
        </is>
      </c>
      <c r="C20" s="18" t="inlineStr">
        <is>
          <t>Risk Analytics</t>
        </is>
      </c>
      <c r="D20" s="18" t="inlineStr">
        <is>
          <t>Escalation</t>
        </is>
      </c>
      <c r="E20" s="18" t="inlineStr">
        <is>
          <t>Yes - exceeds materiality</t>
        </is>
      </c>
      <c r="F20" s="18" t="inlineStr">
        <is>
          <t>Escalated to principal risk list; succession planning initiated</t>
        </is>
      </c>
      <c r="G20" s="18" t="inlineStr">
        <is>
          <t>Resolved</t>
        </is>
      </c>
    </row>
    <row r="21">
      <c r="A21" s="18" t="inlineStr">
        <is>
          <t>BU-002</t>
        </is>
      </c>
      <c r="B21" s="18" t="inlineStr">
        <is>
          <t>Trade surveillance system gaps in fixed income</t>
        </is>
      </c>
      <c r="C21" s="18" t="inlineStr">
        <is>
          <t>Trading</t>
        </is>
      </c>
      <c r="D21" s="18" t="inlineStr">
        <is>
          <t>Legitimate BU Risk</t>
        </is>
      </c>
      <c r="E21" s="18" t="inlineStr">
        <is>
          <t>No</t>
        </is>
      </c>
      <c r="F21" s="18" t="inlineStr">
        <is>
          <t>Retained as BU-level risk; not material at group level</t>
        </is>
      </c>
      <c r="G21" s="18" t="inlineStr">
        <is>
          <t>Resolved</t>
        </is>
      </c>
    </row>
  </sheetData>
  <autoFilter ref="A5:G5"/>
  <conditionalFormatting sqref="G6:G16">
    <cfRule type="cellIs" priority="1" operator="equal" dxfId="6">
      <formula>"Open"</formula>
    </cfRule>
    <cfRule type="cellIs" priority="2" operator="equal" dxfId="5">
      <formula>"In Progress"</formula>
    </cfRule>
    <cfRule type="cellIs" priority="3" operator="equal" dxfId="4">
      <formula>"Resolved"</formula>
    </cfRule>
    <cfRule type="cellIs" priority="4" operator="equal" dxfId="7">
      <formula>"Escalated"</formula>
    </cfRule>
  </conditionalFormatting>
  <conditionalFormatting sqref="G20:G30">
    <cfRule type="cellIs" priority="5" operator="equal" dxfId="6">
      <formula>"Open"</formula>
    </cfRule>
    <cfRule type="cellIs" priority="6" operator="equal" dxfId="5">
      <formula>"In Progress"</formula>
    </cfRule>
    <cfRule type="cellIs" priority="7" operator="equal" dxfId="4">
      <formula>"Resolved"</formula>
    </cfRule>
    <cfRule type="cellIs" priority="8" operator="equal" dxfId="7">
      <formula>"Escalated"</formula>
    </cfRule>
  </conditionalFormatting>
  <dataValidations count="3">
    <dataValidation sqref="G6:G16" showDropDown="0" showInputMessage="0" showErrorMessage="0" allowBlank="1" errorTitle="Invalid Entry" error="Please select from the list" type="list">
      <formula1>"Open,In Progress,Resolved,Escalated"</formula1>
    </dataValidation>
    <dataValidation sqref="G20:G30" showDropDown="0" showInputMessage="0" showErrorMessage="0" allowBlank="1" errorTitle="Invalid Entry" error="Please select from the list" type="list">
      <formula1>"Open,In Progress,Resolved,Escalated"</formula1>
    </dataValidation>
    <dataValidation sqref="E20:E30" showDropDown="0" showInputMessage="0" showErrorMessage="0" allowBlank="1" errorTitle="Invalid Entry" error="Please select from the list" type="list">
      <formula1>"Yes - exceeds materiality,Yes - appetite breach,No,Under review"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2A7F7F"/>
    <outlinePr summaryBelow="1" summaryRight="1"/>
    <pageSetUpPr fitToPage="1"/>
  </sheetPr>
  <dimension ref="A1:N55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2" customWidth="1" min="13" max="13"/>
    <col width="12" customWidth="1" min="14" max="14"/>
  </cols>
  <sheetData>
    <row r="1">
      <c r="A1" s="15" t="inlineStr">
        <is>
          <t>Four-Dimensional Risk Scoring Worksheet</t>
        </is>
      </c>
    </row>
    <row r="2">
      <c r="A2" s="16" t="inlineStr">
        <is>
          <t>Book Reference: Chapter 9 — Assessment</t>
        </is>
      </c>
    </row>
    <row r="3">
      <c r="A3" s="14" t="inlineStr">
        <is>
          <t>Score each risk on four dimensions (1–5). Inherent = no controls. Residual = after controls. Grey cells are formulas.</t>
        </is>
      </c>
    </row>
    <row r="5">
      <c r="A5" s="17" t="inlineStr">
        <is>
          <t>Risk ID</t>
        </is>
      </c>
      <c r="B5" s="17" t="inlineStr">
        <is>
          <t>Risk Name</t>
        </is>
      </c>
      <c r="C5" s="17" t="inlineStr">
        <is>
          <t>Inh. Impact</t>
        </is>
      </c>
      <c r="D5" s="17" t="inlineStr">
        <is>
          <t>Inh. Likelihood</t>
        </is>
      </c>
      <c r="E5" s="17" t="inlineStr">
        <is>
          <t>Inh. Vulnerability</t>
        </is>
      </c>
      <c r="F5" s="17" t="inlineStr">
        <is>
          <t>Inh. Speed</t>
        </is>
      </c>
      <c r="G5" s="17" t="inlineStr">
        <is>
          <t>Inh. Score</t>
        </is>
      </c>
      <c r="H5" s="17" t="inlineStr">
        <is>
          <t>Ctrl Effect.</t>
        </is>
      </c>
      <c r="I5" s="17" t="inlineStr">
        <is>
          <t>Res. Impact</t>
        </is>
      </c>
      <c r="J5" s="17" t="inlineStr">
        <is>
          <t>Res. Likelihood</t>
        </is>
      </c>
      <c r="K5" s="17" t="inlineStr">
        <is>
          <t>Res. Vulnerability</t>
        </is>
      </c>
      <c r="L5" s="17" t="inlineStr">
        <is>
          <t>Res. Score</t>
        </is>
      </c>
      <c r="M5" s="17" t="inlineStr">
        <is>
          <t>Data Quality</t>
        </is>
      </c>
      <c r="N5" s="17" t="inlineStr">
        <is>
          <t>Material?</t>
        </is>
      </c>
    </row>
    <row r="6">
      <c r="A6" s="18" t="inlineStr">
        <is>
          <t>CR-001</t>
        </is>
      </c>
      <c r="B6" s="18" t="inlineStr">
        <is>
          <t>Counterparty Credit Risk</t>
        </is>
      </c>
      <c r="C6" s="28" t="n">
        <v>4</v>
      </c>
      <c r="D6" s="28" t="n">
        <v>3</v>
      </c>
      <c r="E6" s="28" t="n">
        <v>3</v>
      </c>
      <c r="F6" s="28" t="n">
        <v>4</v>
      </c>
      <c r="G6" s="29">
        <f>AVERAGE(C6:F6)</f>
        <v/>
      </c>
      <c r="H6" s="28" t="n">
        <v>3</v>
      </c>
      <c r="I6" s="28" t="n">
        <v>3</v>
      </c>
      <c r="J6" s="28" t="n">
        <v>2</v>
      </c>
      <c r="K6" s="28" t="n">
        <v>2</v>
      </c>
      <c r="L6" s="29">
        <f>AVERAGE(I6:K6)</f>
        <v/>
      </c>
      <c r="M6" s="28" t="inlineStr">
        <is>
          <t>High</t>
        </is>
      </c>
      <c r="N6" s="28" t="inlineStr">
        <is>
          <t>Yes</t>
        </is>
      </c>
    </row>
    <row r="7">
      <c r="A7" s="18" t="inlineStr">
        <is>
          <t>CR-002</t>
        </is>
      </c>
      <c r="B7" s="18" t="inlineStr">
        <is>
          <t>CRE Concentration</t>
        </is>
      </c>
      <c r="C7" s="28" t="n">
        <v>4</v>
      </c>
      <c r="D7" s="28" t="n">
        <v>4</v>
      </c>
      <c r="E7" s="28" t="n">
        <v>4</v>
      </c>
      <c r="F7" s="28" t="n">
        <v>3</v>
      </c>
      <c r="G7" s="29">
        <f>AVERAGE(C7:F7)</f>
        <v/>
      </c>
      <c r="H7" s="28" t="n">
        <v>2</v>
      </c>
      <c r="I7" s="28" t="n">
        <v>3</v>
      </c>
      <c r="J7" s="28" t="n">
        <v>3</v>
      </c>
      <c r="K7" s="28" t="n">
        <v>3</v>
      </c>
      <c r="L7" s="29">
        <f>AVERAGE(I7:K7)</f>
        <v/>
      </c>
      <c r="M7" s="28" t="inlineStr">
        <is>
          <t>Medium</t>
        </is>
      </c>
      <c r="N7" s="28" t="inlineStr">
        <is>
          <t>Yes</t>
        </is>
      </c>
    </row>
    <row r="8">
      <c r="A8" s="18" t="inlineStr">
        <is>
          <t>MR-001</t>
        </is>
      </c>
      <c r="B8" s="18" t="inlineStr">
        <is>
          <t>Interest Rate Risk (Banking Book)</t>
        </is>
      </c>
      <c r="C8" s="28" t="n">
        <v>4</v>
      </c>
      <c r="D8" s="28" t="n">
        <v>4</v>
      </c>
      <c r="E8" s="28" t="n">
        <v>3</v>
      </c>
      <c r="F8" s="28" t="n">
        <v>5</v>
      </c>
      <c r="G8" s="29">
        <f>AVERAGE(C8:F8)</f>
        <v/>
      </c>
      <c r="H8" s="28" t="n">
        <v>3</v>
      </c>
      <c r="I8" s="28" t="n">
        <v>3</v>
      </c>
      <c r="J8" s="28" t="n">
        <v>3</v>
      </c>
      <c r="K8" s="28" t="n">
        <v>2</v>
      </c>
      <c r="L8" s="29">
        <f>AVERAGE(I8:K8)</f>
        <v/>
      </c>
      <c r="M8" s="28" t="inlineStr">
        <is>
          <t>High</t>
        </is>
      </c>
      <c r="N8" s="28" t="inlineStr">
        <is>
          <t>Yes</t>
        </is>
      </c>
    </row>
    <row r="9">
      <c r="A9" s="18" t="inlineStr">
        <is>
          <t>OR-001</t>
        </is>
      </c>
      <c r="B9" s="18" t="inlineStr">
        <is>
          <t>Cyber / Technology Failure</t>
        </is>
      </c>
      <c r="C9" s="28" t="n">
        <v>5</v>
      </c>
      <c r="D9" s="28" t="n">
        <v>3</v>
      </c>
      <c r="E9" s="28" t="n">
        <v>3</v>
      </c>
      <c r="F9" s="28" t="n">
        <v>5</v>
      </c>
      <c r="G9" s="29">
        <f>AVERAGE(C9:F9)</f>
        <v/>
      </c>
      <c r="H9" s="28" t="n">
        <v>3</v>
      </c>
      <c r="I9" s="28" t="n">
        <v>4</v>
      </c>
      <c r="J9" s="28" t="n">
        <v>2</v>
      </c>
      <c r="K9" s="28" t="n">
        <v>2</v>
      </c>
      <c r="L9" s="29">
        <f>AVERAGE(I9:K9)</f>
        <v/>
      </c>
      <c r="M9" s="28" t="inlineStr">
        <is>
          <t>Medium</t>
        </is>
      </c>
      <c r="N9" s="28" t="inlineStr">
        <is>
          <t>Yes</t>
        </is>
      </c>
    </row>
    <row r="10">
      <c r="A10" s="18" t="inlineStr">
        <is>
          <t>LR-001</t>
        </is>
      </c>
      <c r="B10" s="18" t="inlineStr">
        <is>
          <t>Wholesale Funding Concentration</t>
        </is>
      </c>
      <c r="C10" s="28" t="n">
        <v>4</v>
      </c>
      <c r="D10" s="28" t="n">
        <v>3</v>
      </c>
      <c r="E10" s="28" t="n">
        <v>4</v>
      </c>
      <c r="F10" s="28" t="n">
        <v>4</v>
      </c>
      <c r="G10" s="29">
        <f>AVERAGE(C10:F10)</f>
        <v/>
      </c>
      <c r="H10" s="28" t="n">
        <v>2</v>
      </c>
      <c r="I10" s="28" t="n">
        <v>3</v>
      </c>
      <c r="J10" s="28" t="n">
        <v>2</v>
      </c>
      <c r="K10" s="28" t="n">
        <v>3</v>
      </c>
      <c r="L10" s="29">
        <f>AVERAGE(I10:K10)</f>
        <v/>
      </c>
      <c r="M10" s="28" t="inlineStr">
        <is>
          <t>High</t>
        </is>
      </c>
      <c r="N10" s="28" t="inlineStr">
        <is>
          <t>Yes</t>
        </is>
      </c>
    </row>
    <row r="11">
      <c r="A11" s="18" t="inlineStr">
        <is>
          <t>SR-001</t>
        </is>
      </c>
      <c r="B11" s="18" t="inlineStr">
        <is>
          <t>Revenue Concentration</t>
        </is>
      </c>
      <c r="C11" s="28" t="n">
        <v>3</v>
      </c>
      <c r="D11" s="28" t="n">
        <v>3</v>
      </c>
      <c r="E11" s="28" t="n">
        <v>3</v>
      </c>
      <c r="F11" s="28" t="n">
        <v>2</v>
      </c>
      <c r="G11" s="29">
        <f>AVERAGE(C11:F11)</f>
        <v/>
      </c>
      <c r="H11" s="28" t="n">
        <v>2</v>
      </c>
      <c r="I11" s="28" t="n">
        <v>2</v>
      </c>
      <c r="J11" s="28" t="n">
        <v>3</v>
      </c>
      <c r="K11" s="28" t="n">
        <v>2</v>
      </c>
      <c r="L11" s="29">
        <f>AVERAGE(I11:K11)</f>
        <v/>
      </c>
      <c r="M11" s="28" t="inlineStr">
        <is>
          <t>Medium</t>
        </is>
      </c>
      <c r="N11" s="28" t="inlineStr">
        <is>
          <t>No</t>
        </is>
      </c>
    </row>
    <row r="12">
      <c r="A12" s="18" t="inlineStr">
        <is>
          <t>CO-001</t>
        </is>
      </c>
      <c r="B12" s="18" t="inlineStr">
        <is>
          <t>Sanctions Breach Risk</t>
        </is>
      </c>
      <c r="C12" s="28" t="n">
        <v>5</v>
      </c>
      <c r="D12" s="28" t="n">
        <v>2</v>
      </c>
      <c r="E12" s="28" t="n">
        <v>3</v>
      </c>
      <c r="F12" s="28" t="n">
        <v>5</v>
      </c>
      <c r="G12" s="29">
        <f>AVERAGE(C12:F12)</f>
        <v/>
      </c>
      <c r="H12" s="28" t="n">
        <v>3</v>
      </c>
      <c r="I12" s="28" t="n">
        <v>4</v>
      </c>
      <c r="J12" s="28" t="n">
        <v>1</v>
      </c>
      <c r="K12" s="28" t="n">
        <v>2</v>
      </c>
      <c r="L12" s="29">
        <f>AVERAGE(I12:K12)</f>
        <v/>
      </c>
      <c r="M12" s="28" t="inlineStr">
        <is>
          <t>High</t>
        </is>
      </c>
      <c r="N12" s="28" t="inlineStr">
        <is>
          <t>Yes</t>
        </is>
      </c>
    </row>
    <row r="13">
      <c r="G13" s="30">
        <f>IF(C13="","",AVERAGE(C13:F13))</f>
        <v/>
      </c>
      <c r="L13" s="30">
        <f>IF(I13="","",AVERAGE(I13:K13))</f>
        <v/>
      </c>
    </row>
    <row r="14">
      <c r="G14" s="30">
        <f>IF(C14="","",AVERAGE(C14:F14))</f>
        <v/>
      </c>
      <c r="L14" s="30">
        <f>IF(I14="","",AVERAGE(I14:K14))</f>
        <v/>
      </c>
    </row>
    <row r="15">
      <c r="G15" s="30">
        <f>IF(C15="","",AVERAGE(C15:F15))</f>
        <v/>
      </c>
      <c r="L15" s="30">
        <f>IF(I15="","",AVERAGE(I15:K15))</f>
        <v/>
      </c>
    </row>
    <row r="16">
      <c r="G16" s="30">
        <f>IF(C16="","",AVERAGE(C16:F16))</f>
        <v/>
      </c>
      <c r="L16" s="30">
        <f>IF(I16="","",AVERAGE(I16:K16))</f>
        <v/>
      </c>
    </row>
    <row r="17">
      <c r="G17" s="30">
        <f>IF(C17="","",AVERAGE(C17:F17))</f>
        <v/>
      </c>
      <c r="L17" s="30">
        <f>IF(I17="","",AVERAGE(I17:K17))</f>
        <v/>
      </c>
    </row>
    <row r="18">
      <c r="G18" s="30">
        <f>IF(C18="","",AVERAGE(C18:F18))</f>
        <v/>
      </c>
      <c r="L18" s="30">
        <f>IF(I18="","",AVERAGE(I18:K18))</f>
        <v/>
      </c>
    </row>
    <row r="19">
      <c r="G19" s="30">
        <f>IF(C19="","",AVERAGE(C19:F19))</f>
        <v/>
      </c>
      <c r="L19" s="30">
        <f>IF(I19="","",AVERAGE(I19:K19))</f>
        <v/>
      </c>
    </row>
    <row r="20">
      <c r="G20" s="30">
        <f>IF(C20="","",AVERAGE(C20:F20))</f>
        <v/>
      </c>
      <c r="L20" s="30">
        <f>IF(I20="","",AVERAGE(I20:K20))</f>
        <v/>
      </c>
    </row>
    <row r="21">
      <c r="G21" s="30">
        <f>IF(C21="","",AVERAGE(C21:F21))</f>
        <v/>
      </c>
      <c r="L21" s="30">
        <f>IF(I21="","",AVERAGE(I21:K21))</f>
        <v/>
      </c>
    </row>
    <row r="22">
      <c r="G22" s="30">
        <f>IF(C22="","",AVERAGE(C22:F22))</f>
        <v/>
      </c>
      <c r="L22" s="30">
        <f>IF(I22="","",AVERAGE(I22:K22))</f>
        <v/>
      </c>
    </row>
    <row r="23">
      <c r="G23" s="30">
        <f>IF(C23="","",AVERAGE(C23:F23))</f>
        <v/>
      </c>
      <c r="L23" s="30">
        <f>IF(I23="","",AVERAGE(I23:K23))</f>
        <v/>
      </c>
    </row>
    <row r="24">
      <c r="G24" s="30">
        <f>IF(C24="","",AVERAGE(C24:F24))</f>
        <v/>
      </c>
      <c r="L24" s="30">
        <f>IF(I24="","",AVERAGE(I24:K24))</f>
        <v/>
      </c>
    </row>
    <row r="25">
      <c r="G25" s="30">
        <f>IF(C25="","",AVERAGE(C25:F25))</f>
        <v/>
      </c>
      <c r="L25" s="30">
        <f>IF(I25="","",AVERAGE(I25:K25))</f>
        <v/>
      </c>
    </row>
    <row r="26">
      <c r="G26" s="30">
        <f>IF(C26="","",AVERAGE(C26:F26))</f>
        <v/>
      </c>
      <c r="L26" s="30">
        <f>IF(I26="","",AVERAGE(I26:K26))</f>
        <v/>
      </c>
    </row>
    <row r="27">
      <c r="G27" s="30">
        <f>IF(C27="","",AVERAGE(C27:F27))</f>
        <v/>
      </c>
      <c r="L27" s="30">
        <f>IF(I27="","",AVERAGE(I27:K27))</f>
        <v/>
      </c>
    </row>
    <row r="28">
      <c r="G28" s="30">
        <f>IF(C28="","",AVERAGE(C28:F28))</f>
        <v/>
      </c>
      <c r="L28" s="30">
        <f>IF(I28="","",AVERAGE(I28:K28))</f>
        <v/>
      </c>
    </row>
    <row r="29">
      <c r="G29" s="30">
        <f>IF(C29="","",AVERAGE(C29:F29))</f>
        <v/>
      </c>
      <c r="L29" s="30">
        <f>IF(I29="","",AVERAGE(I29:K29))</f>
        <v/>
      </c>
    </row>
    <row r="30">
      <c r="G30" s="30">
        <f>IF(C30="","",AVERAGE(C30:F30))</f>
        <v/>
      </c>
      <c r="L30" s="30">
        <f>IF(I30="","",AVERAGE(I30:K30))</f>
        <v/>
      </c>
    </row>
    <row r="31">
      <c r="G31" s="30">
        <f>IF(C31="","",AVERAGE(C31:F31))</f>
        <v/>
      </c>
      <c r="L31" s="30">
        <f>IF(I31="","",AVERAGE(I31:K31))</f>
        <v/>
      </c>
    </row>
    <row r="32">
      <c r="G32" s="30">
        <f>IF(C32="","",AVERAGE(C32:F32))</f>
        <v/>
      </c>
      <c r="L32" s="30">
        <f>IF(I32="","",AVERAGE(I32:K32))</f>
        <v/>
      </c>
    </row>
    <row r="33">
      <c r="G33" s="30">
        <f>IF(C33="","",AVERAGE(C33:F33))</f>
        <v/>
      </c>
      <c r="L33" s="30">
        <f>IF(I33="","",AVERAGE(I33:K33))</f>
        <v/>
      </c>
    </row>
    <row r="34">
      <c r="G34" s="30">
        <f>IF(C34="","",AVERAGE(C34:F34))</f>
        <v/>
      </c>
      <c r="L34" s="30">
        <f>IF(I34="","",AVERAGE(I34:K34))</f>
        <v/>
      </c>
    </row>
    <row r="35">
      <c r="G35" s="30">
        <f>IF(C35="","",AVERAGE(C35:F35))</f>
        <v/>
      </c>
      <c r="L35" s="30">
        <f>IF(I35="","",AVERAGE(I35:K35))</f>
        <v/>
      </c>
    </row>
    <row r="36">
      <c r="G36" s="30">
        <f>IF(C36="","",AVERAGE(C36:F36))</f>
        <v/>
      </c>
      <c r="L36" s="30">
        <f>IF(I36="","",AVERAGE(I36:K36))</f>
        <v/>
      </c>
    </row>
    <row r="37">
      <c r="G37" s="30">
        <f>IF(C37="","",AVERAGE(C37:F37))</f>
        <v/>
      </c>
      <c r="L37" s="30">
        <f>IF(I37="","",AVERAGE(I37:K37))</f>
        <v/>
      </c>
    </row>
    <row r="38">
      <c r="G38" s="30">
        <f>IF(C38="","",AVERAGE(C38:F38))</f>
        <v/>
      </c>
      <c r="L38" s="30">
        <f>IF(I38="","",AVERAGE(I38:K38))</f>
        <v/>
      </c>
    </row>
    <row r="39">
      <c r="G39" s="30">
        <f>IF(C39="","",AVERAGE(C39:F39))</f>
        <v/>
      </c>
      <c r="L39" s="30">
        <f>IF(I39="","",AVERAGE(I39:K39))</f>
        <v/>
      </c>
    </row>
    <row r="40">
      <c r="G40" s="30">
        <f>IF(C40="","",AVERAGE(C40:F40))</f>
        <v/>
      </c>
      <c r="L40" s="30">
        <f>IF(I40="","",AVERAGE(I40:K40))</f>
        <v/>
      </c>
    </row>
    <row r="41">
      <c r="G41" s="30">
        <f>IF(C41="","",AVERAGE(C41:F41))</f>
        <v/>
      </c>
      <c r="L41" s="30">
        <f>IF(I41="","",AVERAGE(I41:K41))</f>
        <v/>
      </c>
    </row>
    <row r="42">
      <c r="G42" s="30">
        <f>IF(C42="","",AVERAGE(C42:F42))</f>
        <v/>
      </c>
      <c r="L42" s="30">
        <f>IF(I42="","",AVERAGE(I42:K42))</f>
        <v/>
      </c>
    </row>
    <row r="43">
      <c r="G43" s="30">
        <f>IF(C43="","",AVERAGE(C43:F43))</f>
        <v/>
      </c>
      <c r="L43" s="30">
        <f>IF(I43="","",AVERAGE(I43:K43))</f>
        <v/>
      </c>
    </row>
    <row r="44">
      <c r="G44" s="30">
        <f>IF(C44="","",AVERAGE(C44:F44))</f>
        <v/>
      </c>
      <c r="L44" s="30">
        <f>IF(I44="","",AVERAGE(I44:K44))</f>
        <v/>
      </c>
    </row>
    <row r="45">
      <c r="G45" s="30">
        <f>IF(C45="","",AVERAGE(C45:F45))</f>
        <v/>
      </c>
      <c r="L45" s="30">
        <f>IF(I45="","",AVERAGE(I45:K45))</f>
        <v/>
      </c>
    </row>
    <row r="46">
      <c r="G46" s="30">
        <f>IF(C46="","",AVERAGE(C46:F46))</f>
        <v/>
      </c>
      <c r="L46" s="30">
        <f>IF(I46="","",AVERAGE(I46:K46))</f>
        <v/>
      </c>
    </row>
    <row r="47">
      <c r="G47" s="30">
        <f>IF(C47="","",AVERAGE(C47:F47))</f>
        <v/>
      </c>
      <c r="L47" s="30">
        <f>IF(I47="","",AVERAGE(I47:K47))</f>
        <v/>
      </c>
    </row>
    <row r="48">
      <c r="G48" s="30">
        <f>IF(C48="","",AVERAGE(C48:F48))</f>
        <v/>
      </c>
      <c r="L48" s="30">
        <f>IF(I48="","",AVERAGE(I48:K48))</f>
        <v/>
      </c>
    </row>
    <row r="49">
      <c r="G49" s="30">
        <f>IF(C49="","",AVERAGE(C49:F49))</f>
        <v/>
      </c>
      <c r="L49" s="30">
        <f>IF(I49="","",AVERAGE(I49:K49))</f>
        <v/>
      </c>
    </row>
    <row r="50">
      <c r="G50" s="30">
        <f>IF(C50="","",AVERAGE(C50:F50))</f>
        <v/>
      </c>
      <c r="L50" s="30">
        <f>IF(I50="","",AVERAGE(I50:K50))</f>
        <v/>
      </c>
    </row>
    <row r="51">
      <c r="G51" s="30">
        <f>IF(C51="","",AVERAGE(C51:F51))</f>
        <v/>
      </c>
      <c r="L51" s="30">
        <f>IF(I51="","",AVERAGE(I51:K51))</f>
        <v/>
      </c>
    </row>
    <row r="52">
      <c r="G52" s="30">
        <f>IF(C52="","",AVERAGE(C52:F52))</f>
        <v/>
      </c>
      <c r="L52" s="30">
        <f>IF(I52="","",AVERAGE(I52:K52))</f>
        <v/>
      </c>
    </row>
    <row r="53">
      <c r="G53" s="30">
        <f>IF(C53="","",AVERAGE(C53:F53))</f>
        <v/>
      </c>
      <c r="L53" s="30">
        <f>IF(I53="","",AVERAGE(I53:K53))</f>
        <v/>
      </c>
    </row>
    <row r="54">
      <c r="G54" s="30">
        <f>IF(C54="","",AVERAGE(C54:F54))</f>
        <v/>
      </c>
      <c r="L54" s="30">
        <f>IF(I54="","",AVERAGE(I54:K54))</f>
        <v/>
      </c>
    </row>
    <row r="55">
      <c r="G55" s="30">
        <f>IF(C55="","",AVERAGE(C55:F55))</f>
        <v/>
      </c>
      <c r="L55" s="30">
        <f>IF(I55="","",AVERAGE(I55:K55))</f>
        <v/>
      </c>
    </row>
  </sheetData>
  <autoFilter ref="A5:N5"/>
  <conditionalFormatting sqref="C6:F55">
    <cfRule type="cellIs" priority="1" operator="equal" dxfId="0">
      <formula>5</formula>
    </cfRule>
    <cfRule type="cellIs" priority="2" operator="equal" dxfId="1">
      <formula>4</formula>
    </cfRule>
    <cfRule type="cellIs" priority="3" operator="equal" dxfId="2">
      <formula>3</formula>
    </cfRule>
    <cfRule type="cellIs" priority="4" operator="equal" dxfId="3">
      <formula>2</formula>
    </cfRule>
    <cfRule type="cellIs" priority="5" operator="equal" dxfId="4">
      <formula>1</formula>
    </cfRule>
  </conditionalFormatting>
  <conditionalFormatting sqref="H6:K55">
    <cfRule type="cellIs" priority="6" operator="equal" dxfId="0">
      <formula>5</formula>
    </cfRule>
    <cfRule type="cellIs" priority="7" operator="equal" dxfId="1">
      <formula>4</formula>
    </cfRule>
    <cfRule type="cellIs" priority="8" operator="equal" dxfId="2">
      <formula>3</formula>
    </cfRule>
    <cfRule type="cellIs" priority="9" operator="equal" dxfId="3">
      <formula>2</formula>
    </cfRule>
    <cfRule type="cellIs" priority="10" operator="equal" dxfId="4">
      <formula>1</formula>
    </cfRule>
  </conditionalFormatting>
  <conditionalFormatting sqref="N6:N55">
    <cfRule type="cellIs" priority="11" operator="equal" dxfId="0">
      <formula>"Yes"</formula>
    </cfRule>
  </conditionalFormatting>
  <dataValidations count="4">
    <dataValidation sqref="C6:F200" showDropDown="0" showInputMessage="0" showErrorMessage="0" allowBlank="1" errorTitle="Invalid Entry" error="Please select from the list" type="list">
      <formula1>"1,2,3,4,5"</formula1>
    </dataValidation>
    <dataValidation sqref="H6:K200" showDropDown="0" showInputMessage="0" showErrorMessage="0" allowBlank="1" errorTitle="Invalid Entry" error="Please select from the list" type="list">
      <formula1>"1,2,3,4,5"</formula1>
    </dataValidation>
    <dataValidation sqref="M6:M200" showDropDown="0" showInputMessage="0" showErrorMessage="0" allowBlank="1" errorTitle="Invalid Entry" error="Please select from the list" type="list">
      <formula1>"High,Medium,Low,Very Low"</formula1>
    </dataValidation>
    <dataValidation sqref="N6:N200" showDropDown="0" showInputMessage="0" showErrorMessage="0" allowBlank="1" errorTitle="Invalid Entry" error="Please select from the list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2A7F7F"/>
    <outlinePr summaryBelow="1" summaryRight="1"/>
    <pageSetUpPr fitToPage="1"/>
  </sheetPr>
  <dimension ref="A1:P20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5" t="inlineStr">
        <is>
          <t>Risk Interaction Matrix</t>
        </is>
      </c>
    </row>
    <row r="2">
      <c r="A2" s="16" t="inlineStr">
        <is>
          <t>Book Reference: Chapter 10 — Risk Interaction</t>
        </is>
      </c>
    </row>
    <row r="3">
      <c r="A3" s="14" t="inlineStr">
        <is>
          <t>Mark relationships: T=Trigger, A=Amplifier, C=Correlation. Leave blank if no material interaction.</t>
        </is>
      </c>
    </row>
    <row r="5">
      <c r="A5" s="17" t="inlineStr">
        <is>
          <t>Risk ↓  affects  Risk →</t>
        </is>
      </c>
      <c r="B5" s="17" t="inlineStr">
        <is>
          <t>Credit Risk</t>
        </is>
      </c>
      <c r="C5" s="17" t="inlineStr">
        <is>
          <t>Market Risk</t>
        </is>
      </c>
      <c r="D5" s="17" t="inlineStr">
        <is>
          <t>Liquidity Risk</t>
        </is>
      </c>
      <c r="E5" s="17" t="inlineStr">
        <is>
          <t>Operational Risk</t>
        </is>
      </c>
      <c r="F5" s="17" t="inlineStr">
        <is>
          <t>Conduct Risk</t>
        </is>
      </c>
      <c r="G5" s="17" t="inlineStr">
        <is>
          <t>Strategic Risk</t>
        </is>
      </c>
      <c r="H5" s="17" t="inlineStr">
        <is>
          <t>Technology Risk</t>
        </is>
      </c>
      <c r="I5" s="17" t="inlineStr">
        <is>
          <t>Reputational Risk</t>
        </is>
      </c>
      <c r="J5" s="17" t="inlineStr">
        <is>
          <t>Climate Risk</t>
        </is>
      </c>
      <c r="K5" s="17" t="inlineStr">
        <is>
          <t>Compliance Risk</t>
        </is>
      </c>
      <c r="L5" s="17" t="inlineStr">
        <is>
          <t>Model Risk</t>
        </is>
      </c>
      <c r="M5" s="17" t="inlineStr">
        <is>
          <t>Third-Party Risk</t>
        </is>
      </c>
      <c r="N5" s="17" t="inlineStr">
        <is>
          <t>Country Risk</t>
        </is>
      </c>
      <c r="O5" s="17" t="inlineStr">
        <is>
          <t>Capital Risk</t>
        </is>
      </c>
      <c r="P5" s="17" t="inlineStr">
        <is>
          <t>Legal Risk</t>
        </is>
      </c>
    </row>
    <row r="6">
      <c r="A6" s="24" t="inlineStr">
        <is>
          <t>Credit Risk</t>
        </is>
      </c>
      <c r="B6" s="31" t="inlineStr">
        <is>
          <t>—</t>
        </is>
      </c>
      <c r="C6" s="28" t="inlineStr">
        <is>
          <t>T</t>
        </is>
      </c>
      <c r="D6" s="28" t="inlineStr">
        <is>
          <t>A</t>
        </is>
      </c>
      <c r="E6" s="32" t="n"/>
      <c r="F6" s="32" t="n"/>
      <c r="G6" s="32" t="n"/>
      <c r="H6" s="32" t="n"/>
      <c r="I6" s="28" t="inlineStr">
        <is>
          <t>T</t>
        </is>
      </c>
      <c r="J6" s="32" t="n"/>
      <c r="K6" s="32" t="n"/>
      <c r="L6" s="32" t="n"/>
      <c r="M6" s="32" t="n"/>
      <c r="N6" s="32" t="n"/>
      <c r="O6" s="28" t="inlineStr">
        <is>
          <t>A</t>
        </is>
      </c>
      <c r="P6" s="32" t="n"/>
    </row>
    <row r="7">
      <c r="A7" s="24" t="inlineStr">
        <is>
          <t>Market Risk</t>
        </is>
      </c>
      <c r="B7" s="28" t="inlineStr">
        <is>
          <t>A</t>
        </is>
      </c>
      <c r="C7" s="31" t="inlineStr">
        <is>
          <t>—</t>
        </is>
      </c>
      <c r="D7" s="28" t="inlineStr">
        <is>
          <t>T</t>
        </is>
      </c>
      <c r="E7" s="32" t="n"/>
      <c r="F7" s="32" t="n"/>
      <c r="G7" s="32" t="n"/>
      <c r="H7" s="32" t="n"/>
      <c r="I7" s="32" t="n"/>
      <c r="J7" s="32" t="n"/>
      <c r="K7" s="32" t="n"/>
      <c r="L7" s="32" t="n"/>
      <c r="M7" s="32" t="n"/>
      <c r="N7" s="32" t="n"/>
      <c r="O7" s="28" t="inlineStr">
        <is>
          <t>A</t>
        </is>
      </c>
      <c r="P7" s="32" t="n"/>
    </row>
    <row r="8">
      <c r="A8" s="24" t="inlineStr">
        <is>
          <t>Liquidity Risk</t>
        </is>
      </c>
      <c r="B8" s="28" t="inlineStr">
        <is>
          <t>A</t>
        </is>
      </c>
      <c r="C8" s="28" t="inlineStr">
        <is>
          <t>A</t>
        </is>
      </c>
      <c r="D8" s="31" t="inlineStr">
        <is>
          <t>—</t>
        </is>
      </c>
      <c r="E8" s="32" t="n"/>
      <c r="F8" s="32" t="n"/>
      <c r="G8" s="32" t="n"/>
      <c r="H8" s="32" t="n"/>
      <c r="I8" s="28" t="inlineStr">
        <is>
          <t>T</t>
        </is>
      </c>
      <c r="J8" s="32" t="n"/>
      <c r="K8" s="32" t="n"/>
      <c r="L8" s="32" t="n"/>
      <c r="M8" s="32" t="n"/>
      <c r="N8" s="32" t="n"/>
      <c r="O8" s="32" t="n"/>
      <c r="P8" s="32" t="n"/>
    </row>
    <row r="9">
      <c r="A9" s="24" t="inlineStr">
        <is>
          <t>Operational Risk</t>
        </is>
      </c>
      <c r="B9" s="32" t="n"/>
      <c r="C9" s="32" t="n"/>
      <c r="D9" s="32" t="n"/>
      <c r="E9" s="31" t="inlineStr">
        <is>
          <t>—</t>
        </is>
      </c>
      <c r="F9" s="32" t="n"/>
      <c r="G9" s="28" t="inlineStr">
        <is>
          <t>A</t>
        </is>
      </c>
      <c r="H9" s="28" t="inlineStr">
        <is>
          <t>C</t>
        </is>
      </c>
      <c r="I9" s="28" t="inlineStr">
        <is>
          <t>T</t>
        </is>
      </c>
      <c r="J9" s="32" t="n"/>
      <c r="K9" s="32" t="n"/>
      <c r="L9" s="32" t="n"/>
      <c r="M9" s="32" t="n"/>
      <c r="N9" s="32" t="n"/>
      <c r="O9" s="32" t="n"/>
      <c r="P9" s="32" t="n"/>
    </row>
    <row r="10">
      <c r="A10" s="24" t="inlineStr">
        <is>
          <t>Conduct Risk</t>
        </is>
      </c>
      <c r="B10" s="32" t="n"/>
      <c r="C10" s="32" t="n"/>
      <c r="D10" s="32" t="n"/>
      <c r="E10" s="32" t="n"/>
      <c r="F10" s="31" t="inlineStr">
        <is>
          <t>—</t>
        </is>
      </c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</row>
    <row r="11">
      <c r="A11" s="24" t="inlineStr">
        <is>
          <t>Strategic Risk</t>
        </is>
      </c>
      <c r="B11" s="32" t="n"/>
      <c r="C11" s="32" t="n"/>
      <c r="D11" s="32" t="n"/>
      <c r="E11" s="32" t="n"/>
      <c r="F11" s="32" t="n"/>
      <c r="G11" s="31" t="inlineStr">
        <is>
          <t>—</t>
        </is>
      </c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</row>
    <row r="12">
      <c r="A12" s="24" t="inlineStr">
        <is>
          <t>Technology Risk</t>
        </is>
      </c>
      <c r="B12" s="32" t="n"/>
      <c r="C12" s="32" t="n"/>
      <c r="D12" s="32" t="n"/>
      <c r="E12" s="28" t="inlineStr">
        <is>
          <t>T</t>
        </is>
      </c>
      <c r="F12" s="32" t="n"/>
      <c r="G12" s="32" t="n"/>
      <c r="H12" s="31" t="inlineStr">
        <is>
          <t>—</t>
        </is>
      </c>
      <c r="I12" s="28" t="inlineStr">
        <is>
          <t>T</t>
        </is>
      </c>
      <c r="J12" s="32" t="n"/>
      <c r="K12" s="28" t="inlineStr">
        <is>
          <t>A</t>
        </is>
      </c>
      <c r="L12" s="32" t="n"/>
      <c r="M12" s="32" t="n"/>
      <c r="N12" s="32" t="n"/>
      <c r="O12" s="32" t="n"/>
      <c r="P12" s="32" t="n"/>
    </row>
    <row r="13">
      <c r="A13" s="24" t="inlineStr">
        <is>
          <t>Reputational Risk</t>
        </is>
      </c>
      <c r="B13" s="32" t="n"/>
      <c r="C13" s="32" t="n"/>
      <c r="D13" s="32" t="n"/>
      <c r="E13" s="32" t="n"/>
      <c r="F13" s="32" t="n"/>
      <c r="G13" s="32" t="n"/>
      <c r="H13" s="32" t="n"/>
      <c r="I13" s="31" t="inlineStr">
        <is>
          <t>—</t>
        </is>
      </c>
      <c r="J13" s="32" t="n"/>
      <c r="K13" s="32" t="n"/>
      <c r="L13" s="32" t="n"/>
      <c r="M13" s="32" t="n"/>
      <c r="N13" s="32" t="n"/>
      <c r="O13" s="32" t="n"/>
      <c r="P13" s="32" t="n"/>
    </row>
    <row r="14">
      <c r="A14" s="24" t="inlineStr">
        <is>
          <t>Climate Risk</t>
        </is>
      </c>
      <c r="B14" s="28" t="inlineStr">
        <is>
          <t>A</t>
        </is>
      </c>
      <c r="C14" s="32" t="n"/>
      <c r="D14" s="32" t="n"/>
      <c r="E14" s="32" t="n"/>
      <c r="F14" s="32" t="n"/>
      <c r="G14" s="28" t="inlineStr">
        <is>
          <t>T</t>
        </is>
      </c>
      <c r="H14" s="32" t="n"/>
      <c r="I14" s="28" t="inlineStr">
        <is>
          <t>A</t>
        </is>
      </c>
      <c r="J14" s="31" t="inlineStr">
        <is>
          <t>—</t>
        </is>
      </c>
      <c r="K14" s="32" t="n"/>
      <c r="L14" s="32" t="n"/>
      <c r="M14" s="32" t="n"/>
      <c r="N14" s="32" t="n"/>
      <c r="O14" s="32" t="n"/>
      <c r="P14" s="32" t="n"/>
    </row>
    <row r="15">
      <c r="A15" s="24" t="inlineStr">
        <is>
          <t>Compliance Risk</t>
        </is>
      </c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1" t="inlineStr">
        <is>
          <t>—</t>
        </is>
      </c>
      <c r="L15" s="32" t="n"/>
      <c r="M15" s="32" t="n"/>
      <c r="N15" s="32" t="n"/>
      <c r="O15" s="32" t="n"/>
      <c r="P15" s="32" t="n"/>
    </row>
    <row r="16">
      <c r="A16" s="24" t="inlineStr">
        <is>
          <t>Model Risk</t>
        </is>
      </c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1" t="inlineStr">
        <is>
          <t>—</t>
        </is>
      </c>
      <c r="M16" s="32" t="n"/>
      <c r="N16" s="32" t="n"/>
      <c r="O16" s="32" t="n"/>
      <c r="P16" s="32" t="n"/>
    </row>
    <row r="17">
      <c r="A17" s="24" t="inlineStr">
        <is>
          <t>Third-Party Risk</t>
        </is>
      </c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1" t="inlineStr">
        <is>
          <t>—</t>
        </is>
      </c>
      <c r="N17" s="32" t="n"/>
      <c r="O17" s="32" t="n"/>
      <c r="P17" s="32" t="n"/>
    </row>
    <row r="18">
      <c r="A18" s="24" t="inlineStr">
        <is>
          <t>Country Risk</t>
        </is>
      </c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1" t="inlineStr">
        <is>
          <t>—</t>
        </is>
      </c>
      <c r="O18" s="32" t="n"/>
      <c r="P18" s="32" t="n"/>
    </row>
    <row r="19">
      <c r="A19" s="24" t="inlineStr">
        <is>
          <t>Capital Risk</t>
        </is>
      </c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1" t="inlineStr">
        <is>
          <t>—</t>
        </is>
      </c>
      <c r="P19" s="32" t="n"/>
    </row>
    <row r="20">
      <c r="A20" s="24" t="inlineStr">
        <is>
          <t>Legal Risk</t>
        </is>
      </c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1" t="inlineStr">
        <is>
          <t>—</t>
        </is>
      </c>
    </row>
  </sheetData>
  <conditionalFormatting sqref="B6:P20">
    <cfRule type="cellIs" priority="1" operator="equal" dxfId="0">
      <formula>"T"</formula>
    </cfRule>
    <cfRule type="cellIs" priority="2" operator="equal" dxfId="1">
      <formula>"A"</formula>
    </cfRule>
    <cfRule type="cellIs" priority="3" operator="equal" dxfId="8">
      <formula>"C"</formula>
    </cfRule>
  </conditionalFormatting>
  <dataValidations count="1">
    <dataValidation sqref="B6:P20" showDropDown="0" showInputMessage="0" showErrorMessage="0" allowBlank="1" errorTitle="Invalid Entry" error="Please select from the list" type="list">
      <formula1>"T,A,C,"</formula1>
    </dataValidation>
  </dataValidation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2A7F7F"/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22" customWidth="1" min="4" max="4"/>
    <col width="28" customWidth="1" min="5" max="5"/>
    <col width="28" customWidth="1" min="6" max="6"/>
    <col width="28" customWidth="1" min="7" max="7"/>
  </cols>
  <sheetData>
    <row r="1">
      <c r="A1" s="15" t="inlineStr">
        <is>
          <t>Bow-Tie Analysis Template</t>
        </is>
      </c>
    </row>
    <row r="2">
      <c r="A2" s="16" t="inlineStr">
        <is>
          <t>Book Reference: Chapter 10 — Visual causal analysis for material risks</t>
        </is>
      </c>
    </row>
    <row r="3">
      <c r="A3" s="26" t="inlineStr">
        <is>
          <t>Risk:</t>
        </is>
      </c>
      <c r="B3" s="33" t="inlineStr">
        <is>
          <t>Cyber attack on payment infrastructure</t>
        </is>
      </c>
      <c r="D3" s="26" t="inlineStr">
        <is>
          <t>Risk Owner:</t>
        </is>
      </c>
      <c r="E3" s="33" t="inlineStr">
        <is>
          <t>CTO / Head of IT Risk</t>
        </is>
      </c>
    </row>
    <row r="5">
      <c r="A5" s="17" t="inlineStr">
        <is>
          <t>#</t>
        </is>
      </c>
      <c r="B5" s="17" t="inlineStr">
        <is>
          <t>CAUSES</t>
        </is>
      </c>
      <c r="C5" s="17" t="inlineStr">
        <is>
          <t>PREVENTIVE BARRIERS</t>
        </is>
      </c>
      <c r="D5" s="17" t="inlineStr">
        <is>
          <t>← RISK EVENT →</t>
        </is>
      </c>
      <c r="E5" s="17" t="inlineStr">
        <is>
          <t>MITIGATING BARRIERS</t>
        </is>
      </c>
      <c r="F5" s="17" t="inlineStr">
        <is>
          <t>CONSEQUENCES</t>
        </is>
      </c>
      <c r="G5" s="17" t="inlineStr">
        <is>
          <t>RECOVERY CONTROLS</t>
        </is>
      </c>
    </row>
    <row r="6">
      <c r="A6" s="18" t="n">
        <v>1</v>
      </c>
      <c r="B6" s="18" t="inlineStr">
        <is>
          <t>Phishing attack on employee credentials</t>
        </is>
      </c>
      <c r="C6" s="18" t="inlineStr">
        <is>
          <t>MFA + security awareness training</t>
        </is>
      </c>
      <c r="D6" s="18" t="inlineStr">
        <is>
          <t>CYBER ATTACK ON PAYMENT SYSTEMS</t>
        </is>
      </c>
      <c r="E6" s="18" t="inlineStr">
        <is>
          <t>Transaction monitoring + anomaly detection</t>
        </is>
      </c>
      <c r="F6" s="18" t="inlineStr">
        <is>
          <t>Fraudulent payments executed</t>
        </is>
      </c>
      <c r="G6" s="18" t="inlineStr">
        <is>
          <t>Insurance claim + law enforcement</t>
        </is>
      </c>
    </row>
    <row r="7">
      <c r="A7" s="18" t="n">
        <v>2</v>
      </c>
      <c r="B7" s="18" t="inlineStr">
        <is>
          <t>Unpatched vulnerability in payment gateway</t>
        </is>
      </c>
      <c r="C7" s="18" t="inlineStr">
        <is>
          <t>Automated patch management + vuln scanning</t>
        </is>
      </c>
      <c r="D7" s="18" t="inlineStr"/>
      <c r="E7" s="18" t="inlineStr">
        <is>
          <t>Payment halt + manual processing fallback</t>
        </is>
      </c>
      <c r="F7" s="18" t="inlineStr">
        <is>
          <t>System downtime (customer impact)</t>
        </is>
      </c>
      <c r="G7" s="18" t="inlineStr">
        <is>
          <t>DR activation + customer comms</t>
        </is>
      </c>
    </row>
    <row r="8">
      <c r="A8" s="18" t="n">
        <v>3</v>
      </c>
      <c r="B8" s="18" t="inlineStr">
        <is>
          <t>Insider threat (malicious or negligent)</t>
        </is>
      </c>
      <c r="C8" s="18" t="inlineStr">
        <is>
          <t>Privileged access management + activity logging</t>
        </is>
      </c>
      <c r="D8" s="18" t="inlineStr"/>
      <c r="E8" s="18" t="inlineStr">
        <is>
          <t>Forensic investigation + containment</t>
        </is>
      </c>
      <c r="F8" s="18" t="inlineStr">
        <is>
          <t>Data breach (customer PII)</t>
        </is>
      </c>
      <c r="G8" s="18" t="inlineStr">
        <is>
          <t>Breach notification + credit monitoring</t>
        </is>
      </c>
    </row>
    <row r="9">
      <c r="A9" s="18" t="n">
        <v>4</v>
      </c>
      <c r="B9" s="18" t="inlineStr">
        <is>
          <t>Supply chain compromise (vendor software)</t>
        </is>
      </c>
      <c r="C9" s="18" t="inlineStr">
        <is>
          <t>Vendor security assessment + code signing</t>
        </is>
      </c>
      <c r="D9" s="18" t="inlineStr"/>
      <c r="E9" s="18" t="inlineStr">
        <is>
          <t>Network segmentation limiting blast radius</t>
        </is>
      </c>
      <c r="F9" s="18" t="inlineStr">
        <is>
          <t>Regulatory investigation</t>
        </is>
      </c>
      <c r="G9" s="18" t="inlineStr">
        <is>
          <t>Remediation plan + regulatory engagement</t>
        </is>
      </c>
    </row>
    <row r="10">
      <c r="A10" s="18" t="n">
        <v>5</v>
      </c>
      <c r="B10" s="18" t="inlineStr">
        <is>
          <t>DDoS attack on public-facing services</t>
        </is>
      </c>
      <c r="C10" s="18" t="inlineStr">
        <is>
          <t>DDoS mitigation service + CDN</t>
        </is>
      </c>
      <c r="D10" s="18" t="inlineStr"/>
      <c r="E10" s="18" t="inlineStr">
        <is>
          <t>Backup communication channels</t>
        </is>
      </c>
      <c r="F10" s="18" t="inlineStr">
        <is>
          <t>Reputational damage</t>
        </is>
      </c>
      <c r="G10" s="18" t="inlineStr">
        <is>
          <t>PR response + customer outreach</t>
        </is>
      </c>
    </row>
    <row r="18">
      <c r="A18" s="22" t="inlineStr">
        <is>
          <t>ESCALATION FACTORS</t>
        </is>
      </c>
    </row>
    <row r="19">
      <c r="A19" s="17" t="inlineStr">
        <is>
          <t>#</t>
        </is>
      </c>
      <c r="B19" s="17" t="inlineStr">
        <is>
          <t>Barrier Ref</t>
        </is>
      </c>
      <c r="C19" s="17" t="inlineStr">
        <is>
          <t>Escalation Factor</t>
        </is>
      </c>
      <c r="D19" s="17" t="inlineStr">
        <is>
          <t>Escalation Control</t>
        </is>
      </c>
      <c r="E19" s="17" t="inlineStr">
        <is>
          <t>Owner</t>
        </is>
      </c>
      <c r="F19" s="17" t="inlineStr">
        <is>
          <t>Last Tested</t>
        </is>
      </c>
    </row>
    <row r="20">
      <c r="A20" s="18" t="n">
        <v>1</v>
      </c>
      <c r="B20" s="18" t="inlineStr">
        <is>
          <t>Preventive #1 (MFA)</t>
        </is>
      </c>
      <c r="C20" s="18" t="inlineStr">
        <is>
          <t>MFA bypass technique emerges (e.g. MFA fatigue attack)</t>
        </is>
      </c>
      <c r="D20" s="18" t="inlineStr">
        <is>
          <t>Adaptive authentication + FIDO2 hardware keys for privileged users</t>
        </is>
      </c>
      <c r="E20" s="18" t="inlineStr">
        <is>
          <t>CISO</t>
        </is>
      </c>
      <c r="F20" s="18" t="inlineStr">
        <is>
          <t>2025-09-15</t>
        </is>
      </c>
    </row>
    <row r="21">
      <c r="A21" s="18" t="n">
        <v>2</v>
      </c>
      <c r="B21" s="18" t="inlineStr">
        <is>
          <t>Mitigating #1 (Transaction monitoring)</t>
        </is>
      </c>
      <c r="C21" s="18" t="inlineStr">
        <is>
          <t>Attacker learns normal transaction patterns</t>
        </is>
      </c>
      <c r="D21" s="18" t="inlineStr">
        <is>
          <t>ML-based anomaly detection + human review of flagged transactions</t>
        </is>
      </c>
      <c r="E21" s="18" t="inlineStr">
        <is>
          <t>Head of Fraud</t>
        </is>
      </c>
      <c r="F21" s="18" t="inlineStr">
        <is>
          <t>2025-11-01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2A7F7F"/>
    <outlinePr summaryBelow="1" summaryRight="1"/>
    <pageSetUpPr fitToPage="1"/>
  </sheetPr>
  <dimension ref="A1:F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25" customWidth="1" min="3" max="3"/>
    <col width="20" customWidth="1" min="4" max="4"/>
    <col width="25" customWidth="1" min="5" max="5"/>
    <col width="20" customWidth="1" min="6" max="6"/>
  </cols>
  <sheetData>
    <row r="1">
      <c r="A1" s="15" t="inlineStr">
        <is>
          <t>Concentration Analysis (Three Types)</t>
        </is>
      </c>
    </row>
    <row r="2">
      <c r="A2" s="16" t="inlineStr">
        <is>
          <t>Book Reference: Chapter 10 — Single-name, Structural, Systemic</t>
        </is>
      </c>
    </row>
    <row r="4">
      <c r="A4" s="22" t="inlineStr">
        <is>
          <t>SINGLE-NAME CONCENTRATIONS</t>
        </is>
      </c>
    </row>
    <row r="5">
      <c r="A5" s="17" t="inlineStr">
        <is>
          <t>Concentration Type</t>
        </is>
      </c>
      <c r="B5" s="17" t="inlineStr">
        <is>
          <t>Description</t>
        </is>
      </c>
      <c r="C5" s="17" t="inlineStr">
        <is>
          <t>Exposure / Metric</t>
        </is>
      </c>
      <c r="D5" s="17" t="inlineStr">
        <is>
          <t>Limit</t>
        </is>
      </c>
      <c r="E5" s="17" t="inlineStr">
        <is>
          <t>Current vs Limit</t>
        </is>
      </c>
      <c r="F5" s="17" t="inlineStr">
        <is>
          <t>Action Required</t>
        </is>
      </c>
    </row>
    <row r="6">
      <c r="A6" s="18" t="inlineStr">
        <is>
          <t>Counterparty</t>
        </is>
      </c>
      <c r="B6" s="18" t="inlineStr">
        <is>
          <t>Largest single counterparty exposure</t>
        </is>
      </c>
      <c r="C6" s="18" t="inlineStr">
        <is>
          <t>$1.8B gross ($0.6B net)</t>
        </is>
      </c>
      <c r="D6" s="18" t="inlineStr">
        <is>
          <t>10% of CET1 ($2.1B)</t>
        </is>
      </c>
      <c r="E6" s="18" t="inlineStr">
        <is>
          <t>86% of limit</t>
        </is>
      </c>
      <c r="F6" s="18" t="inlineStr">
        <is>
          <t>Monitor; approaching threshold</t>
        </is>
      </c>
    </row>
    <row r="7">
      <c r="A7" s="18" t="inlineStr">
        <is>
          <t>Sector</t>
        </is>
      </c>
      <c r="B7" s="18" t="inlineStr">
        <is>
          <t>Commercial Real Estate lending</t>
        </is>
      </c>
      <c r="C7" s="18" t="inlineStr">
        <is>
          <t>$4.2B (18% of loan book)</t>
        </is>
      </c>
      <c r="D7" s="18" t="inlineStr">
        <is>
          <t>20% of loan book</t>
        </is>
      </c>
      <c r="E7" s="18" t="inlineStr">
        <is>
          <t>90% of limit</t>
        </is>
      </c>
      <c r="F7" s="18" t="inlineStr">
        <is>
          <t>Origination review; stress test Q2</t>
        </is>
      </c>
    </row>
    <row r="8">
      <c r="A8" s="18" t="inlineStr">
        <is>
          <t>Geography</t>
        </is>
      </c>
      <c r="B8" s="18" t="inlineStr">
        <is>
          <t>UK domestic exposure</t>
        </is>
      </c>
      <c r="C8" s="18" t="inlineStr">
        <is>
          <t>67% of total assets</t>
        </is>
      </c>
      <c r="D8" s="18" t="inlineStr">
        <is>
          <t>No hard limit</t>
        </is>
      </c>
      <c r="E8" s="18" t="inlineStr">
        <is>
          <t>Board-flagged</t>
        </is>
      </c>
      <c r="F8" s="18" t="inlineStr">
        <is>
          <t>Diversification strategy underway</t>
        </is>
      </c>
    </row>
    <row r="9">
      <c r="A9" s="18" t="inlineStr">
        <is>
          <t>Asset Class</t>
        </is>
      </c>
      <c r="B9" s="18" t="inlineStr">
        <is>
          <t>Sovereign bond portfolio (UK gilts)</t>
        </is>
      </c>
      <c r="C9" s="18" t="inlineStr">
        <is>
          <t>$6.1B</t>
        </is>
      </c>
      <c r="D9" s="18" t="inlineStr">
        <is>
          <t>25% of HQLA buffer</t>
        </is>
      </c>
      <c r="E9" s="18" t="inlineStr">
        <is>
          <t>78% of limit</t>
        </is>
      </c>
      <c r="F9" s="18" t="inlineStr">
        <is>
          <t>Duration review</t>
        </is>
      </c>
    </row>
    <row r="10">
      <c r="A10" s="18" t="inlineStr">
        <is>
          <t>Funding Source</t>
        </is>
      </c>
      <c r="B10" s="18" t="inlineStr">
        <is>
          <t>Top 5 wholesale depositors</t>
        </is>
      </c>
      <c r="C10" s="18" t="inlineStr">
        <is>
          <t>28% of total wholesale funding</t>
        </is>
      </c>
      <c r="D10" s="18" t="inlineStr">
        <is>
          <t>30%</t>
        </is>
      </c>
      <c r="E10" s="18" t="inlineStr">
        <is>
          <t>93% of limit</t>
        </is>
      </c>
      <c r="F10" s="18" t="inlineStr">
        <is>
          <t>Diversification programme</t>
        </is>
      </c>
    </row>
    <row r="13">
      <c r="A13" s="22" t="inlineStr">
        <is>
          <t>STRUCTURAL CONCENTRATIONS</t>
        </is>
      </c>
    </row>
    <row r="14">
      <c r="A14" s="17" t="inlineStr">
        <is>
          <t>Concentration Type</t>
        </is>
      </c>
      <c r="B14" s="17" t="inlineStr">
        <is>
          <t>Description</t>
        </is>
      </c>
      <c r="C14" s="17" t="inlineStr">
        <is>
          <t>Evidence</t>
        </is>
      </c>
      <c r="D14" s="17" t="inlineStr">
        <is>
          <t>Risk Implications</t>
        </is>
      </c>
      <c r="E14" s="17" t="inlineStr">
        <is>
          <t>Mitigants</t>
        </is>
      </c>
      <c r="F14" s="17" t="inlineStr"/>
    </row>
    <row r="15">
      <c r="A15" s="18" t="inlineStr">
        <is>
          <t>Business Model Assumption</t>
        </is>
      </c>
      <c r="B15" s="18" t="inlineStr">
        <is>
          <t>Revenue depends on stable net interest margin</t>
        </is>
      </c>
      <c r="C15" s="18" t="inlineStr">
        <is>
          <t>NIM compression from 2.1% to 1.6% over 3 years</t>
        </is>
      </c>
      <c r="D15" s="18" t="inlineStr">
        <is>
          <t>Earnings volatility if rates fall further</t>
        </is>
      </c>
      <c r="E15" s="18" t="inlineStr">
        <is>
          <t>Fee income diversification; hedging programme</t>
        </is>
      </c>
      <c r="F15" s="18" t="inlineStr"/>
    </row>
    <row r="16">
      <c r="A16" s="18" t="inlineStr">
        <is>
          <t>Correlation Assumption</t>
        </is>
      </c>
      <c r="B16" s="18" t="inlineStr">
        <is>
          <t>CRE and residential property assumed uncorrelated</t>
        </is>
      </c>
      <c r="C16" s="18" t="inlineStr">
        <is>
          <t>Both fell &gt;15% in 2008-09; model assumes r=0.3</t>
        </is>
      </c>
      <c r="D16" s="18" t="inlineStr">
        <is>
          <t>Capital model understates tail risk</t>
        </is>
      </c>
      <c r="E16" s="18" t="inlineStr">
        <is>
          <t>Stress test overlay; model conservatism adjustment</t>
        </is>
      </c>
      <c r="F16" s="18" t="inlineStr"/>
    </row>
    <row r="17">
      <c r="A17" s="18" t="inlineStr">
        <is>
          <t>Technology Dependency</t>
        </is>
      </c>
      <c r="B17" s="18" t="inlineStr">
        <is>
          <t>Single core banking platform (Temenos)</t>
        </is>
      </c>
      <c r="C17" s="18" t="inlineStr">
        <is>
          <t>No viable short-term alternative; vendor lock-in</t>
        </is>
      </c>
      <c r="D17" s="18" t="inlineStr">
        <is>
          <t>Operational resilience risk; vendor concentration</t>
        </is>
      </c>
      <c r="E17" s="18" t="inlineStr">
        <is>
          <t>Contractual protections; exit plan (3-year horizon)</t>
        </is>
      </c>
      <c r="F17" s="18" t="inlineStr"/>
    </row>
    <row r="20">
      <c r="A20" s="22" t="inlineStr">
        <is>
          <t>SYSTEMIC CONCENTRATIONS</t>
        </is>
      </c>
    </row>
    <row r="21">
      <c r="A21" s="17" t="inlineStr">
        <is>
          <t>Concentration Type</t>
        </is>
      </c>
      <c r="B21" s="17" t="inlineStr">
        <is>
          <t>Description</t>
        </is>
      </c>
      <c r="C21" s="17" t="inlineStr">
        <is>
          <t>Evidence</t>
        </is>
      </c>
      <c r="D21" s="17" t="inlineStr">
        <is>
          <t>Risk Implications</t>
        </is>
      </c>
      <c r="E21" s="17" t="inlineStr">
        <is>
          <t>Mitigants</t>
        </is>
      </c>
      <c r="F21" s="17" t="inlineStr"/>
    </row>
    <row r="22">
      <c r="A22" s="18" t="inlineStr">
        <is>
          <t>Clearing House</t>
        </is>
      </c>
      <c r="B22" s="18" t="inlineStr">
        <is>
          <t>LCH Ltd concentration for rates derivatives</t>
        </is>
      </c>
      <c r="C22" s="18" t="inlineStr">
        <is>
          <t>85% of cleared rates volume through LCH</t>
        </is>
      </c>
      <c r="D22" s="18" t="inlineStr">
        <is>
          <t>CCP default or operational failure</t>
        </is>
      </c>
      <c r="E22" s="18" t="inlineStr">
        <is>
          <t>Default fund contribution monitoring; bilateral backup</t>
        </is>
      </c>
      <c r="F22" s="18" t="inlineStr"/>
    </row>
    <row r="23">
      <c r="A23" s="18" t="inlineStr">
        <is>
          <t>Cloud Provider</t>
        </is>
      </c>
      <c r="B23" s="18" t="inlineStr">
        <is>
          <t>AWS hosts 70% of cloud workloads</t>
        </is>
      </c>
      <c r="C23" s="18" t="inlineStr">
        <is>
          <t>No multi-cloud strategy currently</t>
        </is>
      </c>
      <c r="D23" s="18" t="inlineStr">
        <is>
          <t>DORA compliance gap; single point of failure</t>
        </is>
      </c>
      <c r="E23" s="18" t="inlineStr">
        <is>
          <t>Multi-cloud assessment initiated; critical apps on-prem</t>
        </is>
      </c>
      <c r="F23" s="18" t="inlineStr"/>
    </row>
  </sheetData>
  <autoFilter ref="A5:F5"/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666666"/>
    <outlinePr summaryBelow="1" summaryRight="1"/>
    <pageSetUpPr fitToPage="1"/>
  </sheetPr>
  <dimension ref="A1:N12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15" customWidth="1" min="4" max="4"/>
    <col width="18" customWidth="1" min="5" max="5"/>
    <col width="10" customWidth="1" min="6" max="6"/>
    <col width="28" customWidth="1" min="7" max="7"/>
    <col width="10" customWidth="1" min="8" max="8"/>
    <col width="10" customWidth="1" min="9" max="9"/>
    <col width="10" customWidth="1" min="10" max="10"/>
    <col width="12" customWidth="1" min="11" max="11"/>
    <col width="22" customWidth="1" min="12" max="12"/>
    <col width="12" customWidth="1" min="13" max="13"/>
    <col width="14" customWidth="1" min="14" max="14"/>
  </cols>
  <sheetData>
    <row r="1">
      <c r="A1" s="15" t="inlineStr">
        <is>
          <t>Fourteen-Field Risk Inventory</t>
        </is>
      </c>
    </row>
    <row r="2">
      <c r="A2" s="16" t="inlineStr">
        <is>
          <t>Book Reference: Chapter 11 — The master register. All other tabs feed into this.</t>
        </is>
      </c>
    </row>
    <row r="3">
      <c r="A3" s="14" t="inlineStr">
        <is>
          <t>This is the central risk inventory. One row per risk. Material risks (residual score ≥3.0) get a full Risk Profile (Tab 16).</t>
        </is>
      </c>
    </row>
    <row r="5">
      <c r="A5" s="17" t="inlineStr">
        <is>
          <t>Risk ID</t>
        </is>
      </c>
      <c r="B5" s="17" t="inlineStr">
        <is>
          <t>Taxonomy (L1/L2/L3)</t>
        </is>
      </c>
      <c r="C5" s="17" t="inlineStr">
        <is>
          <t>Risk Definition</t>
        </is>
      </c>
      <c r="D5" s="17" t="inlineStr">
        <is>
          <t>COSO Category</t>
        </is>
      </c>
      <c r="E5" s="17" t="inlineStr">
        <is>
          <t>Risk Owner</t>
        </is>
      </c>
      <c r="F5" s="17" t="inlineStr">
        <is>
          <t>Inh. Score</t>
        </is>
      </c>
      <c r="G5" s="17" t="inlineStr">
        <is>
          <t>Key Controls</t>
        </is>
      </c>
      <c r="H5" s="17" t="inlineStr">
        <is>
          <t>Ctrl Eff.</t>
        </is>
      </c>
      <c r="I5" s="17" t="inlineStr">
        <is>
          <t>Res. Score</t>
        </is>
      </c>
      <c r="J5" s="17" t="inlineStr">
        <is>
          <t>Material?</t>
        </is>
      </c>
      <c r="K5" s="17" t="inlineStr">
        <is>
          <t>Data Quality</t>
        </is>
      </c>
      <c r="L5" s="17" t="inlineStr">
        <is>
          <t>Interactions</t>
        </is>
      </c>
      <c r="M5" s="17" t="inlineStr">
        <is>
          <t>Trend</t>
        </is>
      </c>
      <c r="N5" s="17" t="inlineStr">
        <is>
          <t>Next Review</t>
        </is>
      </c>
    </row>
    <row r="6">
      <c r="A6" s="18" t="inlineStr">
        <is>
          <t>CR-001</t>
        </is>
      </c>
      <c r="B6" s="18" t="inlineStr">
        <is>
          <t>Credit / Counterparty / Single-Name</t>
        </is>
      </c>
      <c r="C6" s="18" t="inlineStr">
        <is>
          <t>Risk of loss from excessive exposure to a single counterparty</t>
        </is>
      </c>
      <c r="D6" s="18" t="inlineStr">
        <is>
          <t>Operations</t>
        </is>
      </c>
      <c r="E6" s="18" t="inlineStr">
        <is>
          <t>Head of Credit Risk</t>
        </is>
      </c>
      <c r="F6" s="18" t="n">
        <v>3.5</v>
      </c>
      <c r="G6" s="18" t="inlineStr">
        <is>
          <t>Daily margining, credit limits, CVA hedging</t>
        </is>
      </c>
      <c r="H6" s="18" t="n">
        <v>3</v>
      </c>
      <c r="I6" s="18" t="n">
        <v>2.3</v>
      </c>
      <c r="J6" s="18" t="inlineStr">
        <is>
          <t>Yes</t>
        </is>
      </c>
      <c r="K6" s="18" t="inlineStr">
        <is>
          <t>High</t>
        </is>
      </c>
      <c r="L6" s="18" t="inlineStr">
        <is>
          <t>→MR-001(T), →LR-001(A)</t>
        </is>
      </c>
      <c r="M6" s="18" t="inlineStr">
        <is>
          <t>Stable</t>
        </is>
      </c>
      <c r="N6" s="18" t="inlineStr">
        <is>
          <t>2026-06-30</t>
        </is>
      </c>
    </row>
    <row r="7">
      <c r="A7" s="18" t="inlineStr">
        <is>
          <t>CR-002</t>
        </is>
      </c>
      <c r="B7" s="18" t="inlineStr">
        <is>
          <t>Credit / Concentration / CRE</t>
        </is>
      </c>
      <c r="C7" s="18" t="inlineStr">
        <is>
          <t>Risk of loss from concentrated exposure to commercial real estate</t>
        </is>
      </c>
      <c r="D7" s="18" t="inlineStr">
        <is>
          <t>Operations</t>
        </is>
      </c>
      <c r="E7" s="18" t="inlineStr">
        <is>
          <t>Head of Credit Risk</t>
        </is>
      </c>
      <c r="F7" s="18" t="n">
        <v>3.8</v>
      </c>
      <c r="G7" s="18" t="inlineStr">
        <is>
          <t>Sector limits, LTV caps, stress testing</t>
        </is>
      </c>
      <c r="H7" s="18" t="n">
        <v>2</v>
      </c>
      <c r="I7" s="18" t="n">
        <v>3</v>
      </c>
      <c r="J7" s="18" t="inlineStr">
        <is>
          <t>Yes</t>
        </is>
      </c>
      <c r="K7" s="18" t="inlineStr">
        <is>
          <t>Medium</t>
        </is>
      </c>
      <c r="L7" s="18" t="inlineStr">
        <is>
          <t>→MR-001(C), →SR-001(A)</t>
        </is>
      </c>
      <c r="M7" s="18" t="inlineStr">
        <is>
          <t>Increasing</t>
        </is>
      </c>
      <c r="N7" s="18" t="inlineStr">
        <is>
          <t>2026-03-31</t>
        </is>
      </c>
    </row>
    <row r="8">
      <c r="A8" s="18" t="inlineStr">
        <is>
          <t>MR-001</t>
        </is>
      </c>
      <c r="B8" s="18" t="inlineStr">
        <is>
          <t>Market / Interest Rate / IRRBB</t>
        </is>
      </c>
      <c r="C8" s="18" t="inlineStr">
        <is>
          <t>Risk of loss from adverse interest rate movements in the banking book</t>
        </is>
      </c>
      <c r="D8" s="18" t="inlineStr">
        <is>
          <t>Operations</t>
        </is>
      </c>
      <c r="E8" s="18" t="inlineStr">
        <is>
          <t>Head of Market Risk</t>
        </is>
      </c>
      <c r="F8" s="18" t="n">
        <v>4</v>
      </c>
      <c r="G8" s="18" t="inlineStr">
        <is>
          <t>Duration limits, hedging, ALM oversight</t>
        </is>
      </c>
      <c r="H8" s="18" t="n">
        <v>3</v>
      </c>
      <c r="I8" s="18" t="n">
        <v>2.7</v>
      </c>
      <c r="J8" s="18" t="inlineStr">
        <is>
          <t>Yes</t>
        </is>
      </c>
      <c r="K8" s="18" t="inlineStr">
        <is>
          <t>High</t>
        </is>
      </c>
      <c r="L8" s="18" t="inlineStr">
        <is>
          <t>→LR-001(T), →CR-001(A)</t>
        </is>
      </c>
      <c r="M8" s="18" t="inlineStr">
        <is>
          <t>Decreasing</t>
        </is>
      </c>
      <c r="N8" s="18" t="inlineStr">
        <is>
          <t>2026-06-30</t>
        </is>
      </c>
    </row>
    <row r="9">
      <c r="A9" s="18" t="inlineStr">
        <is>
          <t>OR-001</t>
        </is>
      </c>
      <c r="B9" s="18" t="inlineStr">
        <is>
          <t>Operational / Technology / Cyber</t>
        </is>
      </c>
      <c r="C9" s="18" t="inlineStr">
        <is>
          <t>Risk of loss from cyber attack on critical technology infrastructure</t>
        </is>
      </c>
      <c r="D9" s="18" t="inlineStr">
        <is>
          <t>Operations</t>
        </is>
      </c>
      <c r="E9" s="18" t="inlineStr">
        <is>
          <t>CTO</t>
        </is>
      </c>
      <c r="F9" s="18" t="n">
        <v>4</v>
      </c>
      <c r="G9" s="18" t="inlineStr">
        <is>
          <t>MFA, patch management, SOC, pen testing</t>
        </is>
      </c>
      <c r="H9" s="18" t="n">
        <v>3</v>
      </c>
      <c r="I9" s="18" t="n">
        <v>2.7</v>
      </c>
      <c r="J9" s="18" t="inlineStr">
        <is>
          <t>Yes</t>
        </is>
      </c>
      <c r="K9" s="18" t="inlineStr">
        <is>
          <t>Medium</t>
        </is>
      </c>
      <c r="L9" s="18" t="inlineStr">
        <is>
          <t>→RE-001(T), →CO-001(A)</t>
        </is>
      </c>
      <c r="M9" s="18" t="inlineStr">
        <is>
          <t>Increasing</t>
        </is>
      </c>
      <c r="N9" s="18" t="inlineStr">
        <is>
          <t>2026-03-31</t>
        </is>
      </c>
    </row>
    <row r="10">
      <c r="A10" s="18" t="inlineStr">
        <is>
          <t>LR-001</t>
        </is>
      </c>
      <c r="B10" s="18" t="inlineStr">
        <is>
          <t>Liquidity / Funding / Wholesale</t>
        </is>
      </c>
      <c r="C10" s="18" t="inlineStr">
        <is>
          <t>Risk of inability to meet obligations from wholesale funding concentration</t>
        </is>
      </c>
      <c r="D10" s="18" t="inlineStr">
        <is>
          <t>Strategic</t>
        </is>
      </c>
      <c r="E10" s="18" t="inlineStr">
        <is>
          <t>Group Treasurer</t>
        </is>
      </c>
      <c r="F10" s="18" t="n">
        <v>3.8</v>
      </c>
      <c r="G10" s="18" t="inlineStr">
        <is>
          <t>HQLA buffer, CFP, diversified sources</t>
        </is>
      </c>
      <c r="H10" s="18" t="n">
        <v>2</v>
      </c>
      <c r="I10" s="18" t="n">
        <v>2.7</v>
      </c>
      <c r="J10" s="18" t="inlineStr">
        <is>
          <t>Yes</t>
        </is>
      </c>
      <c r="K10" s="18" t="inlineStr">
        <is>
          <t>High</t>
        </is>
      </c>
      <c r="L10" s="18" t="inlineStr">
        <is>
          <t>→CR-001(A), →RE-001(T)</t>
        </is>
      </c>
      <c r="M10" s="18" t="inlineStr">
        <is>
          <t>Stable</t>
        </is>
      </c>
      <c r="N10" s="18" t="inlineStr">
        <is>
          <t>2026-06-30</t>
        </is>
      </c>
    </row>
    <row r="11">
      <c r="A11" s="18" t="inlineStr">
        <is>
          <t>SR-001</t>
        </is>
      </c>
      <c r="B11" s="18" t="inlineStr">
        <is>
          <t>Strategic / Business Model / Revenue</t>
        </is>
      </c>
      <c r="C11" s="18" t="inlineStr">
        <is>
          <t>Risk of earnings volatility from revenue concentration in mortgage lending</t>
        </is>
      </c>
      <c r="D11" s="18" t="inlineStr">
        <is>
          <t>Strategic</t>
        </is>
      </c>
      <c r="E11" s="18" t="inlineStr">
        <is>
          <t>Head of Strategy</t>
        </is>
      </c>
      <c r="F11" s="18" t="n">
        <v>2.8</v>
      </c>
      <c r="G11" s="18" t="inlineStr">
        <is>
          <t>Strategic plan, diversification targets</t>
        </is>
      </c>
      <c r="H11" s="18" t="n">
        <v>2</v>
      </c>
      <c r="I11" s="18" t="n">
        <v>2.3</v>
      </c>
      <c r="J11" s="18" t="inlineStr">
        <is>
          <t>No</t>
        </is>
      </c>
      <c r="K11" s="18" t="inlineStr">
        <is>
          <t>Medium</t>
        </is>
      </c>
      <c r="L11" s="18" t="inlineStr">
        <is>
          <t>→CR-002(C)</t>
        </is>
      </c>
      <c r="M11" s="18" t="inlineStr">
        <is>
          <t>Stable</t>
        </is>
      </c>
      <c r="N11" s="18" t="inlineStr">
        <is>
          <t>2026-09-30</t>
        </is>
      </c>
    </row>
    <row r="12">
      <c r="A12" s="18" t="inlineStr">
        <is>
          <t>CO-001</t>
        </is>
      </c>
      <c r="B12" s="18" t="inlineStr">
        <is>
          <t>Compliance / AML / Sanctions</t>
        </is>
      </c>
      <c r="C12" s="18" t="inlineStr">
        <is>
          <t>Risk of processing transactions that violate sanctions regimes</t>
        </is>
      </c>
      <c r="D12" s="18" t="inlineStr">
        <is>
          <t>Compliance</t>
        </is>
      </c>
      <c r="E12" s="18" t="inlineStr">
        <is>
          <t>Head of Compliance</t>
        </is>
      </c>
      <c r="F12" s="18" t="n">
        <v>3.8</v>
      </c>
      <c r="G12" s="18" t="inlineStr">
        <is>
          <t>Screening systems, training, QA testing</t>
        </is>
      </c>
      <c r="H12" s="18" t="n">
        <v>3</v>
      </c>
      <c r="I12" s="18" t="n">
        <v>2.3</v>
      </c>
      <c r="J12" s="18" t="inlineStr">
        <is>
          <t>Yes</t>
        </is>
      </c>
      <c r="K12" s="18" t="inlineStr">
        <is>
          <t>High</t>
        </is>
      </c>
      <c r="L12" s="18" t="inlineStr">
        <is>
          <t>→RE-001(T), →LE-001(A)</t>
        </is>
      </c>
      <c r="M12" s="18" t="inlineStr">
        <is>
          <t>Increasing</t>
        </is>
      </c>
      <c r="N12" s="18" t="inlineStr">
        <is>
          <t>2026-03-31</t>
        </is>
      </c>
    </row>
  </sheetData>
  <autoFilter ref="A5:N5"/>
  <conditionalFormatting sqref="J6:J200">
    <cfRule type="cellIs" priority="1" operator="equal" dxfId="0">
      <formula>"Yes"</formula>
    </cfRule>
  </conditionalFormatting>
  <dataValidations count="4">
    <dataValidation sqref="D6:D200" showDropDown="0" showInputMessage="0" showErrorMessage="0" allowBlank="1" errorTitle="Invalid Entry" error="Please select from the list" type="list">
      <formula1>"Strategic,Operations,Reporting,Compliance"</formula1>
    </dataValidation>
    <dataValidation sqref="J6:J200" showDropDown="0" showInputMessage="0" showErrorMessage="0" allowBlank="1" errorTitle="Invalid Entry" error="Please select from the list" type="list">
      <formula1>"Yes,No"</formula1>
    </dataValidation>
    <dataValidation sqref="K6:K200" showDropDown="0" showInputMessage="0" showErrorMessage="0" allowBlank="1" errorTitle="Invalid Entry" error="Please select from the list" type="list">
      <formula1>"High,Medium,Low,Very Low"</formula1>
    </dataValidation>
    <dataValidation sqref="M6:M200" showDropDown="0" showInputMessage="0" showErrorMessage="0" allowBlank="1" errorTitle="Invalid Entry" error="Please select from the list" type="list">
      <formula1>"Increasing,Stable,Decreasing"</formula1>
    </dataValidation>
  </dataValidation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666666"/>
    <outlinePr summaryBelow="1" summaryRight="1"/>
    <pageSetUpPr fitToPage="1"/>
  </sheetPr>
  <dimension ref="A1:B32"/>
  <sheetViews>
    <sheetView workbookViewId="0">
      <selection activeCell="A1" sqref="A1"/>
    </sheetView>
  </sheetViews>
  <sheetFormatPr baseColWidth="8" defaultRowHeight="15"/>
  <cols>
    <col width="32" customWidth="1" min="1" max="1"/>
    <col width="75" customWidth="1" min="2" max="2"/>
  </cols>
  <sheetData>
    <row r="1">
      <c r="A1" s="15" t="inlineStr">
        <is>
          <t>Risk Profile Template (14 Elements)</t>
        </is>
      </c>
    </row>
    <row r="2">
      <c r="A2" s="16" t="inlineStr">
        <is>
          <t>Book Reference: Chapter 11 — Complete one per material risk</t>
        </is>
      </c>
    </row>
    <row r="3">
      <c r="A3" s="26" t="inlineStr">
        <is>
          <t>Risk ID:</t>
        </is>
      </c>
      <c r="B3" s="33" t="inlineStr">
        <is>
          <t>OR-001</t>
        </is>
      </c>
    </row>
    <row r="5">
      <c r="A5" s="34" t="inlineStr">
        <is>
          <t>1. Risk Definition</t>
        </is>
      </c>
      <c r="B5" s="14" t="n"/>
    </row>
    <row r="6" ht="48" customHeight="1">
      <c r="A6" s="35" t="n"/>
      <c r="B6" s="18" t="inlineStr">
        <is>
          <t>Risk of loss from cyber attack on critical payment and trading infrastructure, including data exfiltration, system disruption, and fraudulent transaction execution.</t>
        </is>
      </c>
    </row>
    <row r="7">
      <c r="A7" s="34" t="inlineStr">
        <is>
          <t>2. Taxonomy Classification</t>
        </is>
      </c>
      <c r="B7" s="14" t="n"/>
    </row>
    <row r="8" ht="48" customHeight="1">
      <c r="A8" s="35" t="n"/>
      <c r="B8" s="18" t="inlineStr">
        <is>
          <t>Operational Risk / Technology Risk / Cyber Attack (L1 / L2 / L3)</t>
        </is>
      </c>
    </row>
    <row r="9">
      <c r="A9" s="34" t="inlineStr">
        <is>
          <t>3. COSO Objective Category</t>
        </is>
      </c>
      <c r="B9" s="14" t="n"/>
    </row>
    <row r="10" ht="48" customHeight="1">
      <c r="A10" s="35" t="n"/>
      <c r="B10" s="18" t="inlineStr">
        <is>
          <t>Operations</t>
        </is>
      </c>
    </row>
    <row r="11">
      <c r="A11" s="34" t="inlineStr">
        <is>
          <t>4. Underlying Drivers</t>
        </is>
      </c>
      <c r="B11" s="14" t="n"/>
    </row>
    <row r="12" ht="48" customHeight="1">
      <c r="A12" s="35" t="n"/>
      <c r="B12" s="18" t="inlineStr">
        <is>
          <t>Direct: Increasing sophistication of threat actors, unpatched vulnerabilities, insider threats, supply chain compromise. Indirect: Remote working expanding attack surface, cloud migration, regulatory complexity (DORA).</t>
        </is>
      </c>
    </row>
    <row r="13">
      <c r="A13" s="34" t="inlineStr">
        <is>
          <t>5. Current Exposure Metrics</t>
        </is>
      </c>
      <c r="B13" s="14" t="n"/>
    </row>
    <row r="14" ht="48" customHeight="1">
      <c r="A14" s="35" t="n"/>
      <c r="B14" s="18" t="inlineStr">
        <is>
          <t>3 P1 incidents in past 12 months. 47 P2 incidents. Mean time to detect: 4.2 hours. Mean time to contain: 18 hours. Estimated worst-case loss: $85M (insurance coverage: $50M).</t>
        </is>
      </c>
    </row>
    <row r="15">
      <c r="A15" s="34" t="inlineStr">
        <is>
          <t>6. Risk Appetite Position</t>
        </is>
      </c>
      <c r="B15" s="14" t="n"/>
    </row>
    <row r="16" ht="48" customHeight="1">
      <c r="A16" s="35" t="n"/>
      <c r="B16" s="18" t="inlineStr">
        <is>
          <t>Board risk appetite: zero tolerance for data breach affecting &gt;10,000 customers. Current position: WITHIN appetite but trend deteriorating. Last breach: June 2025 (1,200 records, contained).</t>
        </is>
      </c>
    </row>
    <row r="17">
      <c r="A17" s="34" t="inlineStr">
        <is>
          <t>7. Key Controls</t>
        </is>
      </c>
      <c r="B17" s="14" t="n"/>
    </row>
    <row r="18" ht="48" customHeight="1">
      <c r="A18" s="35" t="n"/>
      <c r="B18" s="18" t="inlineStr">
        <is>
          <t>Preventive: MFA (all users), automated patch management, endpoint detection &amp; response, security awareness training (quarterly). Detective: SOC 24/7 monitoring, SIEM correlation, transaction anomaly detection. Control effectiveness rating: 3/5 (adequate but gaps in OT environment).</t>
        </is>
      </c>
    </row>
    <row r="19">
      <c r="A19" s="34" t="inlineStr">
        <is>
          <t>8. Cost-Benefit Assessment</t>
        </is>
      </c>
      <c r="B19" s="14" t="n"/>
    </row>
    <row r="20" ht="48" customHeight="1">
      <c r="A20" s="35" t="n"/>
      <c r="B20" s="18" t="inlineStr">
        <is>
          <t>Annual cybersecurity spend: $12M. Estimated annual loss expectancy without controls: $35M. Current residual ALE: $8M. ROI on security investment: 2.3x. Proposed FIDO2 upgrade ($0.4M) would reduce credential-based attacks by estimated 80%.</t>
        </is>
      </c>
    </row>
    <row r="21">
      <c r="A21" s="34" t="inlineStr">
        <is>
          <t>9. Interaction Effects</t>
        </is>
      </c>
      <c r="B21" s="14" t="n"/>
    </row>
    <row r="22" ht="48" customHeight="1">
      <c r="A22" s="35" t="n"/>
      <c r="B22" s="18" t="inlineStr">
        <is>
          <t>Triggers: Reputational Risk (any public breach). Amplifies: Compliance Risk (regulatory investigation follows breach). Correlated with: Third-Party Risk (vendor compromise pathway).</t>
        </is>
      </c>
    </row>
    <row r="23">
      <c r="A23" s="34" t="inlineStr">
        <is>
          <t>10. Concentration Assessment</t>
        </is>
      </c>
      <c r="B23" s="14" t="n"/>
    </row>
    <row r="24" ht="48" customHeight="1">
      <c r="A24" s="35" t="n"/>
      <c r="B24" s="18" t="inlineStr">
        <is>
          <t>Technology concentration: single core banking platform. Cloud concentration: 70% on AWS. Vendor concentration: Crowdstrike for EDR across all endpoints.</t>
        </is>
      </c>
    </row>
    <row r="25">
      <c r="A25" s="34" t="inlineStr">
        <is>
          <t>11. Trend and Outlook</t>
        </is>
      </c>
      <c r="B25" s="14" t="n"/>
    </row>
    <row r="26" ht="48" customHeight="1">
      <c r="A26" s="35" t="n"/>
      <c r="B26" s="18" t="inlineStr">
        <is>
          <t>Deteriorating. Threat landscape expanding (AI-powered attacks); attack surface growing (cloud migration). Improvement in controls partially offsetting. Net trend: Increasing over 12-month horizon.</t>
        </is>
      </c>
    </row>
    <row r="27">
      <c r="A27" s="34" t="inlineStr">
        <is>
          <t>12. Emerging Dimensions</t>
        </is>
      </c>
      <c r="B27" s="14" t="n"/>
    </row>
    <row r="28" ht="48" customHeight="1">
      <c r="A28" s="35" t="n"/>
      <c r="B28" s="18" t="inlineStr">
        <is>
          <t>Quantum computing threat to current encryption (3–5 year horizon). AI-generated deepfake social engineering (already emerging). Supply chain attacks increasing in frequency.</t>
        </is>
      </c>
    </row>
    <row r="29">
      <c r="A29" s="34" t="inlineStr">
        <is>
          <t>13. Forward-Looking Actions</t>
        </is>
      </c>
      <c r="B29" s="14" t="n"/>
    </row>
    <row r="30" ht="48" customHeight="1">
      <c r="A30" s="35" t="n"/>
      <c r="B30" s="18" t="inlineStr">
        <is>
          <t>1. Deploy FIDO2 hardware keys for privileged access (Q1 2026). 2. Complete OT security assessment (Q2 2026). 3. Implement multi-cloud strategy for critical workloads (2026–27). 4. Quantum-resistant encryption pilot (2027).</t>
        </is>
      </c>
    </row>
    <row r="31">
      <c r="A31" s="34" t="inlineStr">
        <is>
          <t>14. Data Quality and Limitations</t>
        </is>
      </c>
      <c r="B31" s="14" t="n"/>
    </row>
    <row r="32" ht="48" customHeight="1">
      <c r="A32" s="35" t="n"/>
      <c r="B32" s="18" t="inlineStr">
        <is>
          <t>Data quality: Medium. Incident data comprehensive but threat intelligence coverage is partial. Loss estimation relies on scenario analysis (limited historical loss data for cyber). Conservatism adjustment: +1 to vulnerability score.</t>
        </is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666666"/>
    <outlinePr summaryBelow="1" summaryRight="1"/>
    <pageSetUpPr fitToPage="1"/>
  </sheetPr>
  <dimension ref="A1:I1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</cols>
  <sheetData>
    <row r="1">
      <c r="A1" s="15" t="inlineStr">
        <is>
          <t>Key Risk Indicator Dashboard</t>
        </is>
      </c>
    </row>
    <row r="2">
      <c r="A2" s="16" t="inlineStr">
        <is>
          <t>Book Reference: Chapter 11, 13 — Leading indicators with traffic-light thresholds</t>
        </is>
      </c>
    </row>
    <row r="4">
      <c r="A4" s="17" t="inlineStr">
        <is>
          <t>Risk ID</t>
        </is>
      </c>
      <c r="B4" s="17" t="inlineStr">
        <is>
          <t>Risk Name</t>
        </is>
      </c>
      <c r="C4" s="17" t="inlineStr">
        <is>
          <t>KRI Description</t>
        </is>
      </c>
      <c r="D4" s="17" t="inlineStr">
        <is>
          <t>Current Value</t>
        </is>
      </c>
      <c r="E4" s="17" t="inlineStr">
        <is>
          <t>Green ≤</t>
        </is>
      </c>
      <c r="F4" s="17" t="inlineStr">
        <is>
          <t>Amber ≤</t>
        </is>
      </c>
      <c r="G4" s="17" t="inlineStr">
        <is>
          <t>Red &gt;</t>
        </is>
      </c>
      <c r="H4" s="17" t="inlineStr">
        <is>
          <t>Status</t>
        </is>
      </c>
      <c r="I4" s="17" t="inlineStr">
        <is>
          <t>Trend</t>
        </is>
      </c>
    </row>
    <row r="5">
      <c r="A5" s="18" t="inlineStr">
        <is>
          <t>CR-001</t>
        </is>
      </c>
      <c r="B5" s="18" t="inlineStr">
        <is>
          <t>Counterparty Credit Risk</t>
        </is>
      </c>
      <c r="C5" s="18" t="inlineStr">
        <is>
          <t>Avg CDS spread on top 10 counterparties (bps)</t>
        </is>
      </c>
      <c r="D5" s="18" t="n">
        <v>145</v>
      </c>
      <c r="E5" s="18" t="n">
        <v>100</v>
      </c>
      <c r="F5" s="18" t="n">
        <v>200</v>
      </c>
      <c r="G5" s="18" t="n">
        <v>200</v>
      </c>
      <c r="H5" s="18" t="inlineStr">
        <is>
          <t>Amber</t>
        </is>
      </c>
      <c r="I5" s="18" t="inlineStr">
        <is>
          <t>Increasing</t>
        </is>
      </c>
    </row>
    <row r="6">
      <c r="A6" s="18" t="inlineStr">
        <is>
          <t>CR-001</t>
        </is>
      </c>
      <c r="B6" s="18" t="inlineStr">
        <is>
          <t>Counterparty Credit Risk</t>
        </is>
      </c>
      <c r="C6" s="18" t="inlineStr">
        <is>
          <t>Largest single-name exposure (% of CET1)</t>
        </is>
      </c>
      <c r="D6" s="18" t="n">
        <v>8.6</v>
      </c>
      <c r="E6" s="18" t="n">
        <v>8</v>
      </c>
      <c r="F6" s="18" t="n">
        <v>10</v>
      </c>
      <c r="G6" s="18" t="n">
        <v>10</v>
      </c>
      <c r="H6" s="18" t="inlineStr">
        <is>
          <t>Amber</t>
        </is>
      </c>
      <c r="I6" s="18" t="inlineStr">
        <is>
          <t>Stable</t>
        </is>
      </c>
    </row>
    <row r="7">
      <c r="A7" s="18" t="inlineStr">
        <is>
          <t>CR-002</t>
        </is>
      </c>
      <c r="B7" s="18" t="inlineStr">
        <is>
          <t>CRE Concentration</t>
        </is>
      </c>
      <c r="C7" s="18" t="inlineStr">
        <is>
          <t>CRE portfolio as % of loan book</t>
        </is>
      </c>
      <c r="D7" s="18" t="n">
        <v>18</v>
      </c>
      <c r="E7" s="18" t="n">
        <v>15</v>
      </c>
      <c r="F7" s="18" t="n">
        <v>20</v>
      </c>
      <c r="G7" s="18" t="n">
        <v>20</v>
      </c>
      <c r="H7" s="18" t="inlineStr">
        <is>
          <t>Amber</t>
        </is>
      </c>
      <c r="I7" s="18" t="inlineStr">
        <is>
          <t>Increasing</t>
        </is>
      </c>
    </row>
    <row r="8">
      <c r="A8" s="18" t="inlineStr">
        <is>
          <t>CR-002</t>
        </is>
      </c>
      <c r="B8" s="18" t="inlineStr">
        <is>
          <t>CRE Concentration</t>
        </is>
      </c>
      <c r="C8" s="18" t="inlineStr">
        <is>
          <t>Avg LTV on new CRE originations</t>
        </is>
      </c>
      <c r="D8" s="18" t="n">
        <v>68</v>
      </c>
      <c r="E8" s="18" t="n">
        <v>65</v>
      </c>
      <c r="F8" s="18" t="n">
        <v>75</v>
      </c>
      <c r="G8" s="18" t="n">
        <v>75</v>
      </c>
      <c r="H8" s="18" t="inlineStr">
        <is>
          <t>Amber</t>
        </is>
      </c>
      <c r="I8" s="18" t="inlineStr">
        <is>
          <t>Stable</t>
        </is>
      </c>
    </row>
    <row r="9">
      <c r="A9" s="18" t="inlineStr">
        <is>
          <t>MR-001</t>
        </is>
      </c>
      <c r="B9" s="18" t="inlineStr">
        <is>
          <t>Interest Rate Risk</t>
        </is>
      </c>
      <c r="C9" s="18" t="inlineStr">
        <is>
          <t>EVE sensitivity per +100bps (Δ$M)</t>
        </is>
      </c>
      <c r="D9" s="18" t="n">
        <v>-180</v>
      </c>
      <c r="E9" s="18" t="n">
        <v>-150</v>
      </c>
      <c r="F9" s="18" t="n">
        <v>-250</v>
      </c>
      <c r="G9" s="18" t="n">
        <v>-250</v>
      </c>
      <c r="H9" s="18" t="inlineStr">
        <is>
          <t>Amber</t>
        </is>
      </c>
      <c r="I9" s="18" t="inlineStr">
        <is>
          <t>Stable</t>
        </is>
      </c>
    </row>
    <row r="10">
      <c r="A10" s="18" t="inlineStr">
        <is>
          <t>MR-001</t>
        </is>
      </c>
      <c r="B10" s="18" t="inlineStr">
        <is>
          <t>Interest Rate Risk</t>
        </is>
      </c>
      <c r="C10" s="18" t="inlineStr">
        <is>
          <t>NII at risk 12-month horizon ($M)</t>
        </is>
      </c>
      <c r="D10" s="18" t="n">
        <v>45</v>
      </c>
      <c r="E10" s="18" t="n">
        <v>30</v>
      </c>
      <c r="F10" s="18" t="n">
        <v>60</v>
      </c>
      <c r="G10" s="18" t="n">
        <v>60</v>
      </c>
      <c r="H10" s="18" t="inlineStr">
        <is>
          <t>Amber</t>
        </is>
      </c>
      <c r="I10" s="18" t="inlineStr">
        <is>
          <t>Decreasing</t>
        </is>
      </c>
    </row>
    <row r="11">
      <c r="A11" s="18" t="inlineStr">
        <is>
          <t>OR-001</t>
        </is>
      </c>
      <c r="B11" s="18" t="inlineStr">
        <is>
          <t>Cyber / Technology</t>
        </is>
      </c>
      <c r="C11" s="18" t="inlineStr">
        <is>
          <t>P1 incidents (rolling 12 months)</t>
        </is>
      </c>
      <c r="D11" s="18" t="n">
        <v>3</v>
      </c>
      <c r="E11" s="18" t="n">
        <v>2</v>
      </c>
      <c r="F11" s="18" t="n">
        <v>4</v>
      </c>
      <c r="G11" s="18" t="n">
        <v>4</v>
      </c>
      <c r="H11" s="18" t="inlineStr">
        <is>
          <t>Amber</t>
        </is>
      </c>
      <c r="I11" s="18" t="inlineStr">
        <is>
          <t>Stable</t>
        </is>
      </c>
    </row>
    <row r="12">
      <c r="A12" s="18" t="inlineStr">
        <is>
          <t>OR-001</t>
        </is>
      </c>
      <c r="B12" s="18" t="inlineStr">
        <is>
          <t>Cyber / Technology</t>
        </is>
      </c>
      <c r="C12" s="18" t="inlineStr">
        <is>
          <t>Mean time to detect (hours)</t>
        </is>
      </c>
      <c r="D12" s="18" t="n">
        <v>4.2</v>
      </c>
      <c r="E12" s="18" t="n">
        <v>2</v>
      </c>
      <c r="F12" s="18" t="n">
        <v>6</v>
      </c>
      <c r="G12" s="18" t="n">
        <v>6</v>
      </c>
      <c r="H12" s="18" t="inlineStr">
        <is>
          <t>Amber</t>
        </is>
      </c>
      <c r="I12" s="18" t="inlineStr">
        <is>
          <t>Decreasing</t>
        </is>
      </c>
    </row>
    <row r="13">
      <c r="A13" s="18" t="inlineStr">
        <is>
          <t>OR-001</t>
        </is>
      </c>
      <c r="B13" s="18" t="inlineStr">
        <is>
          <t>Cyber / Technology</t>
        </is>
      </c>
      <c r="C13" s="18" t="inlineStr">
        <is>
          <t>Phishing click rate (%)</t>
        </is>
      </c>
      <c r="D13" s="18" t="n">
        <v>2.8</v>
      </c>
      <c r="E13" s="18" t="n">
        <v>2</v>
      </c>
      <c r="F13" s="18" t="n">
        <v>5</v>
      </c>
      <c r="G13" s="18" t="n">
        <v>5</v>
      </c>
      <c r="H13" s="18" t="inlineStr">
        <is>
          <t>Amber</t>
        </is>
      </c>
      <c r="I13" s="18" t="inlineStr">
        <is>
          <t>Decreasing</t>
        </is>
      </c>
    </row>
    <row r="14">
      <c r="A14" s="18" t="inlineStr">
        <is>
          <t>LR-001</t>
        </is>
      </c>
      <c r="B14" s="18" t="inlineStr">
        <is>
          <t>Funding Concentration</t>
        </is>
      </c>
      <c r="C14" s="18" t="inlineStr">
        <is>
          <t>LCR (%)</t>
        </is>
      </c>
      <c r="D14" s="18" t="n">
        <v>135</v>
      </c>
      <c r="E14" s="18" t="n">
        <v>120</v>
      </c>
      <c r="F14" s="18" t="n">
        <v>105</v>
      </c>
      <c r="G14" s="18" t="n">
        <v>105</v>
      </c>
      <c r="H14" s="18" t="inlineStr">
        <is>
          <t>Green</t>
        </is>
      </c>
      <c r="I14" s="18" t="inlineStr">
        <is>
          <t>Stable</t>
        </is>
      </c>
    </row>
    <row r="15">
      <c r="A15" s="18" t="inlineStr">
        <is>
          <t>LR-001</t>
        </is>
      </c>
      <c r="B15" s="18" t="inlineStr">
        <is>
          <t>Funding Concentration</t>
        </is>
      </c>
      <c r="C15" s="18" t="inlineStr">
        <is>
          <t>Top 5 depositors (% of wholesale)</t>
        </is>
      </c>
      <c r="D15" s="18" t="n">
        <v>28</v>
      </c>
      <c r="E15" s="18" t="n">
        <v>25</v>
      </c>
      <c r="F15" s="18" t="n">
        <v>35</v>
      </c>
      <c r="G15" s="18" t="n">
        <v>35</v>
      </c>
      <c r="H15" s="18" t="inlineStr">
        <is>
          <t>Amber</t>
        </is>
      </c>
      <c r="I15" s="18" t="inlineStr">
        <is>
          <t>Stable</t>
        </is>
      </c>
    </row>
    <row r="16">
      <c r="A16" s="18" t="inlineStr">
        <is>
          <t>CO-001</t>
        </is>
      </c>
      <c r="B16" s="18" t="inlineStr">
        <is>
          <t>Sanctions Breach Risk</t>
        </is>
      </c>
      <c r="C16" s="18" t="inlineStr">
        <is>
          <t>Sanctions screening false positive rate (%)</t>
        </is>
      </c>
      <c r="D16" s="18" t="n">
        <v>3.2</v>
      </c>
      <c r="E16" s="18" t="n">
        <v>5</v>
      </c>
      <c r="F16" s="18" t="n">
        <v>8</v>
      </c>
      <c r="G16" s="18" t="n">
        <v>8</v>
      </c>
      <c r="H16" s="18" t="inlineStr">
        <is>
          <t>Green</t>
        </is>
      </c>
      <c r="I16" s="18" t="inlineStr">
        <is>
          <t>Decreasing</t>
        </is>
      </c>
    </row>
  </sheetData>
  <autoFilter ref="A4:I4"/>
  <conditionalFormatting sqref="H5:H200">
    <cfRule type="cellIs" priority="1" operator="equal" dxfId="0">
      <formula>"Red"</formula>
    </cfRule>
    <cfRule type="cellIs" priority="2" operator="equal" dxfId="1">
      <formula>"Amber"</formula>
    </cfRule>
    <cfRule type="cellIs" priority="3" operator="equal" dxfId="9">
      <formula>"Green"</formula>
    </cfRule>
  </conditionalFormatting>
  <dataValidations count="2">
    <dataValidation sqref="H5:H200" showDropDown="0" showInputMessage="0" showErrorMessage="0" allowBlank="1" errorTitle="Invalid Entry" error="Please select from the list" type="list">
      <formula1>"Green,Amber,Red"</formula1>
    </dataValidation>
    <dataValidation sqref="I5:I200" showDropDown="0" showInputMessage="0" showErrorMessage="0" allowBlank="1" errorTitle="Invalid Entry" error="Please select from the list" type="list">
      <formula1>"Increasing,Stable,Decreasing"</formula1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666666"/>
    <outlinePr summaryBelow="1" summaryRight="1"/>
    <pageSetUpPr fitToPage="1"/>
  </sheetPr>
  <dimension ref="A1:J11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8" customWidth="1" min="4" max="4"/>
    <col width="12" customWidth="1" min="5" max="5"/>
    <col width="18" customWidth="1" min="6" max="6"/>
    <col width="12" customWidth="1" min="7" max="7"/>
    <col width="14" customWidth="1" min="8" max="8"/>
    <col width="25" customWidth="1" min="9" max="9"/>
    <col width="14" customWidth="1" min="10" max="10"/>
  </cols>
  <sheetData>
    <row r="1">
      <c r="A1" s="15" t="inlineStr">
        <is>
          <t>Principal Risk Report — Board Reporting Template (10 Items)</t>
        </is>
      </c>
    </row>
    <row r="2">
      <c r="A2" s="16" t="inlineStr">
        <is>
          <t>Book Reference: Chapter 12 — Integration</t>
        </is>
      </c>
    </row>
    <row r="3">
      <c r="A3" s="14" t="inlineStr">
        <is>
          <t>This report is presented to the Board Risk Committee. It contains only material risks with residual scores above the materiality threshold.</t>
        </is>
      </c>
    </row>
    <row r="5">
      <c r="A5" s="17" t="inlineStr">
        <is>
          <t>Risk ID</t>
        </is>
      </c>
      <c r="B5" s="17" t="inlineStr">
        <is>
          <t>Risk Name</t>
        </is>
      </c>
      <c r="C5" s="17" t="inlineStr">
        <is>
          <t>Res. Score</t>
        </is>
      </c>
      <c r="D5" s="17" t="inlineStr">
        <is>
          <t>Dominant Dimension</t>
        </is>
      </c>
      <c r="E5" s="17" t="inlineStr">
        <is>
          <t>Trend</t>
        </is>
      </c>
      <c r="F5" s="17" t="inlineStr">
        <is>
          <t>Appetite Status</t>
        </is>
      </c>
      <c r="G5" s="17" t="inlineStr">
        <is>
          <t>Data Quality</t>
        </is>
      </c>
      <c r="H5" s="17" t="inlineStr">
        <is>
          <t>New/Changed?</t>
        </is>
      </c>
      <c r="I5" s="17" t="inlineStr">
        <is>
          <t>Key KRI Alert</t>
        </is>
      </c>
      <c r="J5" s="17" t="inlineStr">
        <is>
          <t>Action Required</t>
        </is>
      </c>
    </row>
    <row r="6">
      <c r="A6" s="18" t="inlineStr">
        <is>
          <t>CR-001</t>
        </is>
      </c>
      <c r="B6" s="18" t="inlineStr">
        <is>
          <t>Counterparty Credit Risk</t>
        </is>
      </c>
      <c r="C6" s="18" t="n">
        <v>2.3</v>
      </c>
      <c r="D6" s="18" t="inlineStr">
        <is>
          <t>Speed of Onset</t>
        </is>
      </c>
      <c r="E6" s="18" t="inlineStr">
        <is>
          <t>→</t>
        </is>
      </c>
      <c r="F6" s="18" t="inlineStr">
        <is>
          <t>Within Appetite</t>
        </is>
      </c>
      <c r="G6" s="18" t="inlineStr">
        <is>
          <t>High</t>
        </is>
      </c>
      <c r="H6" s="18" t="inlineStr">
        <is>
          <t>No</t>
        </is>
      </c>
      <c r="I6" s="18" t="inlineStr">
        <is>
          <t>CDS spreads widening</t>
        </is>
      </c>
      <c r="J6" s="18" t="inlineStr">
        <is>
          <t>Monitor</t>
        </is>
      </c>
    </row>
    <row r="7">
      <c r="A7" s="18" t="inlineStr">
        <is>
          <t>CR-002</t>
        </is>
      </c>
      <c r="B7" s="18" t="inlineStr">
        <is>
          <t>CRE Concentration</t>
        </is>
      </c>
      <c r="C7" s="18" t="n">
        <v>3</v>
      </c>
      <c r="D7" s="18" t="inlineStr">
        <is>
          <t>Vulnerability</t>
        </is>
      </c>
      <c r="E7" s="18" t="inlineStr">
        <is>
          <t>↑</t>
        </is>
      </c>
      <c r="F7" s="18" t="inlineStr">
        <is>
          <t>Approaching Limit</t>
        </is>
      </c>
      <c r="G7" s="18" t="inlineStr">
        <is>
          <t>Medium</t>
        </is>
      </c>
      <c r="H7" s="18" t="inlineStr">
        <is>
          <t>Changed</t>
        </is>
      </c>
      <c r="I7" s="18" t="inlineStr">
        <is>
          <t>CRE % approaching limit</t>
        </is>
      </c>
      <c r="J7" s="18" t="inlineStr">
        <is>
          <t>Stress test Q2</t>
        </is>
      </c>
    </row>
    <row r="8">
      <c r="A8" s="18" t="inlineStr">
        <is>
          <t>MR-001</t>
        </is>
      </c>
      <c r="B8" s="18" t="inlineStr">
        <is>
          <t>Interest Rate Risk</t>
        </is>
      </c>
      <c r="C8" s="18" t="n">
        <v>2.7</v>
      </c>
      <c r="D8" s="18" t="inlineStr">
        <is>
          <t>Speed of Onset</t>
        </is>
      </c>
      <c r="E8" s="18" t="inlineStr">
        <is>
          <t>↓</t>
        </is>
      </c>
      <c r="F8" s="18" t="inlineStr">
        <is>
          <t>Within Appetite</t>
        </is>
      </c>
      <c r="G8" s="18" t="inlineStr">
        <is>
          <t>High</t>
        </is>
      </c>
      <c r="H8" s="18" t="inlineStr">
        <is>
          <t>No</t>
        </is>
      </c>
      <c r="I8" s="18" t="inlineStr">
        <is>
          <t>EVE sensitivity elevated</t>
        </is>
      </c>
      <c r="J8" s="18" t="inlineStr">
        <is>
          <t>Monitor</t>
        </is>
      </c>
    </row>
    <row r="9">
      <c r="A9" s="18" t="inlineStr">
        <is>
          <t>OR-001</t>
        </is>
      </c>
      <c r="B9" s="18" t="inlineStr">
        <is>
          <t>Cyber / Technology</t>
        </is>
      </c>
      <c r="C9" s="18" t="n">
        <v>2.7</v>
      </c>
      <c r="D9" s="18" t="inlineStr">
        <is>
          <t>Impact</t>
        </is>
      </c>
      <c r="E9" s="18" t="inlineStr">
        <is>
          <t>↑</t>
        </is>
      </c>
      <c r="F9" s="18" t="inlineStr">
        <is>
          <t>Within Appetite</t>
        </is>
      </c>
      <c r="G9" s="18" t="inlineStr">
        <is>
          <t>Medium</t>
        </is>
      </c>
      <c r="H9" s="18" t="inlineStr">
        <is>
          <t>No</t>
        </is>
      </c>
      <c r="I9" s="18" t="inlineStr">
        <is>
          <t>3 P1 incidents (12m)</t>
        </is>
      </c>
      <c r="J9" s="18" t="inlineStr">
        <is>
          <t>FIDO2 deployment</t>
        </is>
      </c>
    </row>
    <row r="10">
      <c r="A10" s="18" t="inlineStr">
        <is>
          <t>LR-001</t>
        </is>
      </c>
      <c r="B10" s="18" t="inlineStr">
        <is>
          <t>Funding Concentration</t>
        </is>
      </c>
      <c r="C10" s="18" t="n">
        <v>2.7</v>
      </c>
      <c r="D10" s="18" t="inlineStr">
        <is>
          <t>Vulnerability</t>
        </is>
      </c>
      <c r="E10" s="18" t="inlineStr">
        <is>
          <t>→</t>
        </is>
      </c>
      <c r="F10" s="18" t="inlineStr">
        <is>
          <t>Within Appetite</t>
        </is>
      </c>
      <c r="G10" s="18" t="inlineStr">
        <is>
          <t>High</t>
        </is>
      </c>
      <c r="H10" s="18" t="inlineStr">
        <is>
          <t>No</t>
        </is>
      </c>
      <c r="I10" s="18" t="inlineStr">
        <is>
          <t>Maturity wall Q2</t>
        </is>
      </c>
      <c r="J10" s="18" t="inlineStr">
        <is>
          <t>Diversification</t>
        </is>
      </c>
    </row>
    <row r="11">
      <c r="A11" s="18" t="inlineStr">
        <is>
          <t>CO-001</t>
        </is>
      </c>
      <c r="B11" s="18" t="inlineStr">
        <is>
          <t>Sanctions Breach Risk</t>
        </is>
      </c>
      <c r="C11" s="18" t="n">
        <v>2.3</v>
      </c>
      <c r="D11" s="18" t="inlineStr">
        <is>
          <t>Impact</t>
        </is>
      </c>
      <c r="E11" s="18" t="inlineStr">
        <is>
          <t>↑</t>
        </is>
      </c>
      <c r="F11" s="18" t="inlineStr">
        <is>
          <t>Within Appetite</t>
        </is>
      </c>
      <c r="G11" s="18" t="inlineStr">
        <is>
          <t>High</t>
        </is>
      </c>
      <c r="H11" s="18" t="inlineStr">
        <is>
          <t>No</t>
        </is>
      </c>
      <c r="I11" s="18" t="inlineStr">
        <is>
          <t>None</t>
        </is>
      </c>
      <c r="J11" s="18" t="inlineStr">
        <is>
          <t>Monitor</t>
        </is>
      </c>
    </row>
  </sheetData>
  <autoFilter ref="A5:J5"/>
  <conditionalFormatting sqref="F6:F55">
    <cfRule type="cellIs" priority="1" operator="equal" dxfId="0">
      <formula>"Exceeds Appetite"</formula>
    </cfRule>
    <cfRule type="cellIs" priority="2" operator="equal" dxfId="1">
      <formula>"Approaching Limit"</formula>
    </cfRule>
    <cfRule type="cellIs" priority="3" operator="equal" dxfId="4">
      <formula>"Within Appetite"</formula>
    </cfRule>
  </conditionalFormatting>
  <dataValidations count="3">
    <dataValidation sqref="D6:D200" showDropDown="0" showInputMessage="0" showErrorMessage="0" allowBlank="1" errorTitle="Invalid Entry" error="Please select from the list" type="list">
      <formula1>"Financial,Regulatory,Reputational,Customer/Operational,Impact,Likelihood,Vulnerability,Speed of Onset"</formula1>
    </dataValidation>
    <dataValidation sqref="F6:F200" showDropDown="0" showInputMessage="0" showErrorMessage="0" allowBlank="1" errorTitle="Invalid Entry" error="Please select from the list" type="list">
      <formula1>"Within Appetite,Approaching Limit,Exceeds Appetite"</formula1>
    </dataValidation>
    <dataValidation sqref="G6:G200" showDropDown="0" showInputMessage="0" showErrorMessage="0" allowBlank="1" errorTitle="Invalid Entry" error="Please select from the list" type="list">
      <formula1>"High,Medium,Low,Very Low"</formula1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666666"/>
    <outlinePr summaryBelow="1" summaryRight="1"/>
    <pageSetUpPr fitToPage="1"/>
  </sheetPr>
  <dimension ref="A1:F1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18" customWidth="1" min="4" max="4"/>
    <col width="22" customWidth="1" min="5" max="5"/>
    <col width="30" customWidth="1" min="6" max="6"/>
  </cols>
  <sheetData>
    <row r="1">
      <c r="A1" s="15" t="inlineStr">
        <is>
          <t>Material Risk to Stress Scenario Mapping</t>
        </is>
      </c>
    </row>
    <row r="2">
      <c r="A2" s="16" t="inlineStr">
        <is>
          <t>Book Reference: Chapter 12 — Links inventory to ICAAP/ILAAP/CCAR</t>
        </is>
      </c>
    </row>
    <row r="4">
      <c r="A4" s="17" t="inlineStr">
        <is>
          <t>Risk ID</t>
        </is>
      </c>
      <c r="B4" s="17" t="inlineStr">
        <is>
          <t>Risk Name</t>
        </is>
      </c>
      <c r="C4" s="17" t="inlineStr">
        <is>
          <t>Stress Scenario</t>
        </is>
      </c>
      <c r="D4" s="17" t="inlineStr">
        <is>
          <t>Framework</t>
        </is>
      </c>
      <c r="E4" s="17" t="inlineStr">
        <is>
          <t>Severity Calibration</t>
        </is>
      </c>
      <c r="F4" s="17" t="inlineStr">
        <is>
          <t>Loss Estimate Basis</t>
        </is>
      </c>
    </row>
    <row r="5">
      <c r="A5" s="18" t="inlineStr">
        <is>
          <t>CR-001</t>
        </is>
      </c>
      <c r="B5" s="18" t="inlineStr">
        <is>
          <t>Counterparty Credit Risk</t>
        </is>
      </c>
      <c r="C5" s="18" t="inlineStr">
        <is>
          <t>Top 3 counterparties default simultaneously</t>
        </is>
      </c>
      <c r="D5" s="18" t="inlineStr">
        <is>
          <t>ICAAP</t>
        </is>
      </c>
      <c r="E5" s="18" t="inlineStr">
        <is>
          <t>1-in-200 year</t>
        </is>
      </c>
      <c r="F5" s="18" t="inlineStr">
        <is>
          <t>LGD model + exposure at default estimates</t>
        </is>
      </c>
    </row>
    <row r="6">
      <c r="A6" s="18" t="inlineStr">
        <is>
          <t>CR-002</t>
        </is>
      </c>
      <c r="B6" s="18" t="inlineStr">
        <is>
          <t>CRE Concentration</t>
        </is>
      </c>
      <c r="C6" s="18" t="inlineStr">
        <is>
          <t>UK CRE values fall 35% over 2 years</t>
        </is>
      </c>
      <c r="D6" s="18" t="inlineStr">
        <is>
          <t>ICAAP</t>
        </is>
      </c>
      <c r="E6" s="18" t="inlineStr">
        <is>
          <t>1-in-100 year</t>
        </is>
      </c>
      <c r="F6" s="18" t="inlineStr">
        <is>
          <t>LTV distribution + forced sale haircuts</t>
        </is>
      </c>
    </row>
    <row r="7">
      <c r="A7" s="18" t="inlineStr">
        <is>
          <t>MR-001</t>
        </is>
      </c>
      <c r="B7" s="18" t="inlineStr">
        <is>
          <t>Interest Rate Risk</t>
        </is>
      </c>
      <c r="C7" s="18" t="inlineStr">
        <is>
          <t>Parallel shift +400bps in 6 months</t>
        </is>
      </c>
      <c r="D7" s="18" t="inlineStr">
        <is>
          <t>ICAAP</t>
        </is>
      </c>
      <c r="E7" s="18" t="inlineStr">
        <is>
          <t>Severe but plausible</t>
        </is>
      </c>
      <c r="F7" s="18" t="inlineStr">
        <is>
          <t>EVE and NII models</t>
        </is>
      </c>
    </row>
    <row r="8">
      <c r="A8" s="18" t="inlineStr">
        <is>
          <t>OR-001</t>
        </is>
      </c>
      <c r="B8" s="18" t="inlineStr">
        <is>
          <t>Cyber / Technology</t>
        </is>
      </c>
      <c r="C8" s="18" t="inlineStr">
        <is>
          <t>Core banking system down 5 days</t>
        </is>
      </c>
      <c r="D8" s="18" t="inlineStr">
        <is>
          <t>ICAAP</t>
        </is>
      </c>
      <c r="E8" s="18" t="inlineStr">
        <is>
          <t>Severe operational</t>
        </is>
      </c>
      <c r="F8" s="18" t="inlineStr">
        <is>
          <t>Scenario-based expert estimate</t>
        </is>
      </c>
    </row>
    <row r="9">
      <c r="A9" s="18" t="inlineStr">
        <is>
          <t>LR-001</t>
        </is>
      </c>
      <c r="B9" s="18" t="inlineStr">
        <is>
          <t>Funding Concentration</t>
        </is>
      </c>
      <c r="C9" s="18" t="inlineStr">
        <is>
          <t>Wholesale funding market closure + rating downgrade</t>
        </is>
      </c>
      <c r="D9" s="18" t="inlineStr">
        <is>
          <t>ILAAP</t>
        </is>
      </c>
      <c r="E9" s="18" t="inlineStr">
        <is>
          <t>1-in-200 year</t>
        </is>
      </c>
      <c r="F9" s="18" t="inlineStr">
        <is>
          <t>Cash flow projection + collateral call estimates</t>
        </is>
      </c>
    </row>
    <row r="10">
      <c r="A10" s="18" t="inlineStr">
        <is>
          <t>CR-002</t>
        </is>
      </c>
      <c r="B10" s="18" t="inlineStr">
        <is>
          <t>CRE Concentration</t>
        </is>
      </c>
      <c r="C10" s="18" t="inlineStr">
        <is>
          <t>GFC repeat: property -40%, unemployment +5%</t>
        </is>
      </c>
      <c r="D10" s="18" t="inlineStr">
        <is>
          <t>Reverse Stress Test</t>
        </is>
      </c>
      <c r="E10" s="18" t="inlineStr">
        <is>
          <t>Point of non-viability</t>
        </is>
      </c>
      <c r="F10" s="18" t="inlineStr">
        <is>
          <t>Integrated credit + market model</t>
        </is>
      </c>
    </row>
    <row r="11">
      <c r="A11" s="18" t="inlineStr">
        <is>
          <t>ALL</t>
        </is>
      </c>
      <c r="B11" s="18" t="inlineStr">
        <is>
          <t>Combined scenario</t>
        </is>
      </c>
      <c r="C11" s="18" t="inlineStr">
        <is>
          <t>Stagflation: rates +300bps, GDP -3%, unemployment +4%</t>
        </is>
      </c>
      <c r="D11" s="18" t="inlineStr">
        <is>
          <t>CCAR</t>
        </is>
      </c>
      <c r="E11" s="18" t="inlineStr">
        <is>
          <t>Severely adverse</t>
        </is>
      </c>
      <c r="F11" s="18" t="inlineStr">
        <is>
          <t>Integrated balance sheet model</t>
        </is>
      </c>
    </row>
  </sheetData>
  <autoFilter ref="A4:F4"/>
  <dataValidations count="1">
    <dataValidation sqref="D5:D200" showDropDown="0" showInputMessage="0" showErrorMessage="0" allowBlank="1" errorTitle="Invalid Entry" error="Please select from the list" type="list">
      <formula1>"ICAAP,ILAAP,CCAR,Recovery Plan,Reverse Stress Test"</formula1>
    </dataValidation>
  </dataValidation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666666"/>
    <outlinePr summaryBelow="1" summaryRight="1"/>
    <pageSetUpPr fitToPage="1"/>
  </sheetPr>
  <dimension ref="A1:F1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30" customWidth="1" min="4" max="4"/>
    <col width="22" customWidth="1" min="5" max="5"/>
    <col width="30" customWidth="1" min="6" max="6"/>
  </cols>
  <sheetData>
    <row r="1">
      <c r="A1" s="15" t="inlineStr">
        <is>
          <t>Regulatory vs Economic Risk Gap Analysis</t>
        </is>
      </c>
    </row>
    <row r="2">
      <c r="A2" s="16" t="inlineStr">
        <is>
          <t>Book Reference: Chapter 12, 15 — Four-step comparison</t>
        </is>
      </c>
    </row>
    <row r="4">
      <c r="A4" s="17" t="inlineStr">
        <is>
          <t>Risk ID</t>
        </is>
      </c>
      <c r="B4" s="17" t="inlineStr">
        <is>
          <t>Risk Name</t>
        </is>
      </c>
      <c r="C4" s="17" t="inlineStr">
        <is>
          <t>Regulatory Treatment (Pillar 1)</t>
        </is>
      </c>
      <c r="D4" s="17" t="inlineStr">
        <is>
          <t>Economic Assessment (Pillar 2)</t>
        </is>
      </c>
      <c r="E4" s="17" t="inlineStr">
        <is>
          <t>Gap Identified?</t>
        </is>
      </c>
      <c r="F4" s="17" t="inlineStr">
        <is>
          <t>Pillar 2A Action</t>
        </is>
      </c>
    </row>
    <row r="5">
      <c r="A5" s="18" t="inlineStr">
        <is>
          <t>CR-002</t>
        </is>
      </c>
      <c r="B5" s="18" t="inlineStr">
        <is>
          <t>CRE Concentration</t>
        </is>
      </c>
      <c r="C5" s="18" t="inlineStr">
        <is>
          <t>Standard credit risk weights; no explicit concentration charge in Pillar 1</t>
        </is>
      </c>
      <c r="D5" s="18" t="inlineStr">
        <is>
          <t>Concentration adds ~40bps to loss distribution tail; not captured by standard weights</t>
        </is>
      </c>
      <c r="E5" s="18" t="inlineStr">
        <is>
          <t>Under-captured in Pillar 1</t>
        </is>
      </c>
      <c r="F5" s="18" t="inlineStr">
        <is>
          <t>Add Pillar 2A capital buffer for CRE concentration (+$180M)</t>
        </is>
      </c>
    </row>
    <row r="6">
      <c r="A6" s="18" t="inlineStr">
        <is>
          <t>MR-001</t>
        </is>
      </c>
      <c r="B6" s="18" t="inlineStr">
        <is>
          <t>Interest Rate Risk (IRRBB)</t>
        </is>
      </c>
      <c r="C6" s="18" t="inlineStr">
        <is>
          <t>Not in Pillar 1 (trading book only)</t>
        </is>
      </c>
      <c r="D6" s="18" t="inlineStr">
        <is>
          <t>EVE sensitivity of $180M per +100bps; material to capital adequacy</t>
        </is>
      </c>
      <c r="E6" s="18" t="inlineStr">
        <is>
          <t>Not captured in Pillar 1</t>
        </is>
      </c>
      <c r="F6" s="18" t="inlineStr">
        <is>
          <t>Full IRRBB Pillar 2A charge ($220M)</t>
        </is>
      </c>
    </row>
    <row r="7">
      <c r="A7" s="18" t="inlineStr">
        <is>
          <t>OR-001</t>
        </is>
      </c>
      <c r="B7" s="18" t="inlineStr">
        <is>
          <t>Cyber / Technology</t>
        </is>
      </c>
      <c r="C7" s="18" t="inlineStr">
        <is>
          <t>Standard operational risk charge (Basic Indicator approach)</t>
        </is>
      </c>
      <c r="D7" s="18" t="inlineStr">
        <is>
          <t>Scenario-based estimate: $85M worst case, far exceeding standard charge</t>
        </is>
      </c>
      <c r="E7" s="18" t="inlineStr">
        <is>
          <t>Under-captured in Pillar 1</t>
        </is>
      </c>
      <c r="F7" s="18" t="inlineStr">
        <is>
          <t>Additional operational risk buffer ($45M)</t>
        </is>
      </c>
    </row>
    <row r="8">
      <c r="A8" s="18" t="inlineStr">
        <is>
          <t>SR-001</t>
        </is>
      </c>
      <c r="B8" s="18" t="inlineStr">
        <is>
          <t>Revenue Concentration</t>
        </is>
      </c>
      <c r="C8" s="18" t="inlineStr">
        <is>
          <t>No Pillar 1 treatment for strategic risk</t>
        </is>
      </c>
      <c r="D8" s="18" t="inlineStr">
        <is>
          <t>Earnings volatility scenario: $120M NII shortfall in adverse case</t>
        </is>
      </c>
      <c r="E8" s="18" t="inlineStr">
        <is>
          <t>Not captured in Pillar 1</t>
        </is>
      </c>
      <c r="F8" s="18" t="inlineStr">
        <is>
          <t>Capital planning buffer under Pillar 2B</t>
        </is>
      </c>
    </row>
    <row r="9">
      <c r="A9" s="18" t="inlineStr">
        <is>
          <t>CR-001</t>
        </is>
      </c>
      <c r="B9" s="18" t="inlineStr">
        <is>
          <t>Counterparty Credit Risk</t>
        </is>
      </c>
      <c r="C9" s="18" t="inlineStr">
        <is>
          <t>SA-CCR / IMM provides adequate capture</t>
        </is>
      </c>
      <c r="D9" s="18" t="inlineStr">
        <is>
          <t>Economic capital model broadly aligns with regulatory</t>
        </is>
      </c>
      <c r="E9" s="18" t="inlineStr">
        <is>
          <t>No gap</t>
        </is>
      </c>
      <c r="F9" s="18" t="inlineStr">
        <is>
          <t>No additional action required</t>
        </is>
      </c>
    </row>
    <row r="10">
      <c r="A10" s="18" t="inlineStr">
        <is>
          <t>LR-001</t>
        </is>
      </c>
      <c r="B10" s="18" t="inlineStr">
        <is>
          <t>Funding Concentration</t>
        </is>
      </c>
      <c r="C10" s="18" t="inlineStr">
        <is>
          <t>LCR/NSFR address liquidity (not capital)</t>
        </is>
      </c>
      <c r="D10" s="18" t="inlineStr">
        <is>
          <t>Liquidity contingency costs: $30M under stress; capital impact indirect</t>
        </is>
      </c>
      <c r="E10" s="18" t="inlineStr">
        <is>
          <t>Not captured in Pillar 1</t>
        </is>
      </c>
      <c r="F10" s="18" t="inlineStr">
        <is>
          <t>Captured in ILAAP; cross-reference in ICAAP narrative</t>
        </is>
      </c>
    </row>
  </sheetData>
  <autoFilter ref="A4:F4"/>
  <conditionalFormatting sqref="E5:E55">
    <cfRule type="cellIs" priority="1" operator="equal" dxfId="6">
      <formula>"Not captured in Pillar 1"</formula>
    </cfRule>
    <cfRule type="cellIs" priority="2" operator="equal" dxfId="5">
      <formula>"Under-captured in Pillar 1"</formula>
    </cfRule>
    <cfRule type="cellIs" priority="3" operator="equal" dxfId="4">
      <formula>"No gap"</formula>
    </cfRule>
  </conditionalFormatting>
  <dataValidations count="1">
    <dataValidation sqref="E5:E200" showDropDown="0" showInputMessage="0" showErrorMessage="0" allowBlank="1" errorTitle="Invalid Entry" error="Please select from the list" type="list">
      <formula1>"No gap,Under-captured in Pillar 1,Not captured in Pillar 1,Over-captured in Pillar 1"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2D8B2D"/>
    <outlinePr summaryBelow="1" summaryRight="1"/>
    <pageSetUpPr fitToPage="1"/>
  </sheetPr>
  <dimension ref="A1:G9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5" customWidth="1" min="2" max="2"/>
    <col width="20" customWidth="1" min="3" max="3"/>
    <col width="15" customWidth="1" min="4" max="4"/>
    <col width="15" customWidth="1" min="5" max="5"/>
    <col width="35" customWidth="1" min="6" max="6"/>
    <col width="14" customWidth="1" min="7" max="7"/>
  </cols>
  <sheetData>
    <row r="1">
      <c r="A1" s="15" t="inlineStr">
        <is>
          <t>Emerging Risk Register</t>
        </is>
      </c>
    </row>
    <row r="2">
      <c r="A2" s="16" t="inlineStr">
        <is>
          <t>Book Reference: Chapter 6, 13 — Risks not yet material but requiring monitoring</t>
        </is>
      </c>
    </row>
    <row r="4">
      <c r="A4" s="17" t="inlineStr">
        <is>
          <t>ER-ID</t>
        </is>
      </c>
      <c r="B4" s="17" t="inlineStr">
        <is>
          <t>Risk Description</t>
        </is>
      </c>
      <c r="C4" s="17" t="inlineStr">
        <is>
          <t>Source</t>
        </is>
      </c>
      <c r="D4" s="17" t="inlineStr">
        <is>
          <t>Horizon</t>
        </is>
      </c>
      <c r="E4" s="17" t="inlineStr">
        <is>
          <t>Potential Impact</t>
        </is>
      </c>
      <c r="F4" s="17" t="inlineStr">
        <is>
          <t>Monitoring Actions</t>
        </is>
      </c>
      <c r="G4" s="17" t="inlineStr">
        <is>
          <t>Review Date</t>
        </is>
      </c>
    </row>
    <row r="5">
      <c r="A5" s="18" t="inlineStr">
        <is>
          <t>ER-001</t>
        </is>
      </c>
      <c r="B5" s="18" t="inlineStr">
        <is>
          <t>Quantum computing rendering current encryption obsolete</t>
        </is>
      </c>
      <c r="C5" s="18" t="inlineStr">
        <is>
          <t>Horizon Scan</t>
        </is>
      </c>
      <c r="D5" s="18" t="inlineStr">
        <is>
          <t>3–5 years</t>
        </is>
      </c>
      <c r="E5" s="18" t="inlineStr">
        <is>
          <t>5 — Extreme</t>
        </is>
      </c>
      <c r="F5" s="18" t="inlineStr">
        <is>
          <t>Track NIST post-quantum standards; pilot quantum-safe algorithms</t>
        </is>
      </c>
      <c r="G5" s="18" t="inlineStr">
        <is>
          <t>2026-06-30</t>
        </is>
      </c>
    </row>
    <row r="6">
      <c r="A6" s="18" t="inlineStr">
        <is>
          <t>ER-002</t>
        </is>
      </c>
      <c r="B6" s="18" t="inlineStr">
        <is>
          <t>AI-generated deepfake fraud (voice/video)</t>
        </is>
      </c>
      <c r="C6" s="18" t="inlineStr">
        <is>
          <t>Industry Event</t>
        </is>
      </c>
      <c r="D6" s="18" t="inlineStr">
        <is>
          <t>&lt;1 year</t>
        </is>
      </c>
      <c r="E6" s="18" t="inlineStr">
        <is>
          <t>4 — Major</t>
        </is>
      </c>
      <c r="F6" s="18" t="inlineStr">
        <is>
          <t>Enhanced voice authentication; deepfake detection tools in evaluation</t>
        </is>
      </c>
      <c r="G6" s="18" t="inlineStr">
        <is>
          <t>2026-03-31</t>
        </is>
      </c>
    </row>
    <row r="7">
      <c r="A7" s="18" t="inlineStr">
        <is>
          <t>ER-003</t>
        </is>
      </c>
      <c r="B7" s="18" t="inlineStr">
        <is>
          <t>Biodiversity-related financial risk (TNFD)</t>
        </is>
      </c>
      <c r="C7" s="18" t="inlineStr">
        <is>
          <t>Regulatory Alert</t>
        </is>
      </c>
      <c r="D7" s="18" t="inlineStr">
        <is>
          <t>1–3 years</t>
        </is>
      </c>
      <c r="E7" s="18" t="inlineStr">
        <is>
          <t>3 — Moderate</t>
        </is>
      </c>
      <c r="F7" s="18" t="inlineStr">
        <is>
          <t>TNFD gap analysis; portfolio screening for nature-dependent sectors</t>
        </is>
      </c>
      <c r="G7" s="18" t="inlineStr">
        <is>
          <t>2026-06-30</t>
        </is>
      </c>
    </row>
    <row r="8">
      <c r="A8" s="18" t="inlineStr">
        <is>
          <t>ER-004</t>
        </is>
      </c>
      <c r="B8" s="18" t="inlineStr">
        <is>
          <t>Stablecoin/CBDC impact on deposit franchise</t>
        </is>
      </c>
      <c r="C8" s="18" t="inlineStr">
        <is>
          <t>Workshop</t>
        </is>
      </c>
      <c r="D8" s="18" t="inlineStr">
        <is>
          <t>1–3 years</t>
        </is>
      </c>
      <c r="E8" s="18" t="inlineStr">
        <is>
          <t>3 — Moderate</t>
        </is>
      </c>
      <c r="F8" s="18" t="inlineStr">
        <is>
          <t>Monitor BoE digital pound consultation; model deposit outflow scenarios</t>
        </is>
      </c>
      <c r="G8" s="18" t="inlineStr">
        <is>
          <t>2026-09-30</t>
        </is>
      </c>
    </row>
    <row r="9">
      <c r="A9" s="18" t="inlineStr">
        <is>
          <t>ER-005</t>
        </is>
      </c>
      <c r="B9" s="18" t="inlineStr">
        <is>
          <t>Geopolitical fragmentation disrupting cross-border payments</t>
        </is>
      </c>
      <c r="C9" s="18" t="inlineStr">
        <is>
          <t>Delphi Panel</t>
        </is>
      </c>
      <c r="D9" s="18" t="inlineStr">
        <is>
          <t>1–3 years</t>
        </is>
      </c>
      <c r="E9" s="18" t="inlineStr">
        <is>
          <t>4 — Major</t>
        </is>
      </c>
      <c r="F9" s="18" t="inlineStr">
        <is>
          <t>Correspondent banking review; sanctions scenario planning</t>
        </is>
      </c>
      <c r="G9" s="18" t="inlineStr">
        <is>
          <t>2026-06-30</t>
        </is>
      </c>
    </row>
  </sheetData>
  <autoFilter ref="A4:G4"/>
  <dataValidations count="2">
    <dataValidation sqref="C5:C200" showDropDown="0" showInputMessage="0" showErrorMessage="0" allowBlank="1" errorTitle="Invalid Entry" error="Please select from the list" type="list">
      <formula1>"Delphi Panel,Workshop,Horizon Scan,Regulatory Alert,Industry Event,Internal Intelligence"</formula1>
    </dataValidation>
    <dataValidation sqref="D5:D200" showDropDown="0" showInputMessage="0" showErrorMessage="0" allowBlank="1" errorTitle="Invalid Entry" error="Please select from the list" type="list">
      <formula1>"&lt;1 year,1-3 years,3-5 years,&gt;5 years"</formula1>
    </dataValidation>
  </dataValidation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2D8B2D"/>
    <outlinePr summaryBelow="1" summaryRight="1"/>
    <pageSetUpPr fitToPage="1"/>
  </sheetPr>
  <dimension ref="A1:F8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22" customWidth="1" min="3" max="3"/>
    <col width="25" customWidth="1" min="4" max="4"/>
    <col width="35" customWidth="1" min="5" max="5"/>
    <col width="14" customWidth="1" min="6" max="6"/>
  </cols>
  <sheetData>
    <row r="1">
      <c r="A1" s="15" t="inlineStr">
        <is>
          <t>Assumption Register</t>
        </is>
      </c>
    </row>
    <row r="2">
      <c r="A2" s="16" t="inlineStr">
        <is>
          <t>Book Reference: Chapter 6, 11, 13 — Tracks key assumptions underlying risk assessments</t>
        </is>
      </c>
    </row>
    <row r="4">
      <c r="A4" s="17" t="inlineStr">
        <is>
          <t>#</t>
        </is>
      </c>
      <c r="B4" s="17" t="inlineStr">
        <is>
          <t>Assumption</t>
        </is>
      </c>
      <c r="C4" s="17" t="inlineStr">
        <is>
          <t>Risks Affected</t>
        </is>
      </c>
      <c r="D4" s="17" t="inlineStr">
        <is>
          <t>Evidence Basis</t>
        </is>
      </c>
      <c r="E4" s="17" t="inlineStr">
        <is>
          <t>Challenge / Sensitivity</t>
        </is>
      </c>
      <c r="F4" s="17" t="inlineStr">
        <is>
          <t>Review Date</t>
        </is>
      </c>
    </row>
    <row r="5">
      <c r="A5" s="18" t="n">
        <v>1</v>
      </c>
      <c r="B5" s="18" t="inlineStr">
        <is>
          <t>Retail deposit behavioural maturity is 3–5 years under normal conditions</t>
        </is>
      </c>
      <c r="C5" s="18" t="inlineStr">
        <is>
          <t>MR-001, LR-001</t>
        </is>
      </c>
      <c r="D5" s="18" t="inlineStr">
        <is>
          <t>Historical deposit flow analysis (10-year dataset)</t>
        </is>
      </c>
      <c r="E5" s="18" t="inlineStr">
        <is>
          <t>SVB demonstrated deposits can flee in hours under stress; sensitivity: +200bps rates = 15% outflow in model vs 40% actual at SVB</t>
        </is>
      </c>
      <c r="F5" s="18" t="inlineStr">
        <is>
          <t>2026-03-31</t>
        </is>
      </c>
    </row>
    <row r="6">
      <c r="A6" s="18" t="n">
        <v>2</v>
      </c>
      <c r="B6" s="18" t="inlineStr">
        <is>
          <t>CRE and residential property values are weakly correlated (r=0.3)</t>
        </is>
      </c>
      <c r="C6" s="18" t="inlineStr">
        <is>
          <t>CR-002</t>
        </is>
      </c>
      <c r="D6" s="18" t="inlineStr">
        <is>
          <t>Pre-2008 data shows low correlation; GFC showed r&gt;0.7</t>
        </is>
      </c>
      <c r="E6" s="18" t="inlineStr">
        <is>
          <t>If correlation rises to 0.7 in stress, tail losses increase ~$200M; model does not capture regime change</t>
        </is>
      </c>
      <c r="F6" s="18" t="inlineStr">
        <is>
          <t>2026-06-30</t>
        </is>
      </c>
    </row>
    <row r="7">
      <c r="A7" s="18" t="n">
        <v>3</v>
      </c>
      <c r="B7" s="18" t="inlineStr">
        <is>
          <t>UK sovereign default probability is negligible</t>
        </is>
      </c>
      <c r="C7" s="18" t="inlineStr">
        <is>
          <t>CR-001, MR-001</t>
        </is>
      </c>
      <c r="D7" s="18" t="inlineStr">
        <is>
          <t>UK CDS &lt; 20bps; historical precedent</t>
        </is>
      </c>
      <c r="E7" s="18" t="inlineStr">
        <is>
          <t>Gilt crisis of 2022 showed market stress is possible; no sovereign default assumption may be optimistic for some scenarios</t>
        </is>
      </c>
      <c r="F7" s="18" t="inlineStr">
        <is>
          <t>2026-09-30</t>
        </is>
      </c>
    </row>
    <row r="8">
      <c r="A8" s="18" t="n">
        <v>4</v>
      </c>
      <c r="B8" s="18" t="inlineStr">
        <is>
          <t>Cloud service providers (AWS) maintain 99.99% availability</t>
        </is>
      </c>
      <c r="C8" s="18" t="inlineStr">
        <is>
          <t>OR-001</t>
        </is>
      </c>
      <c r="D8" s="18" t="inlineStr">
        <is>
          <t>AWS SLA and historical uptime data</t>
        </is>
      </c>
      <c r="E8" s="18" t="inlineStr">
        <is>
          <t>Extended outage (&gt;24hrs) has occurred 3 times in 5 years for other providers; our DR assumes max 4hr RTO</t>
        </is>
      </c>
      <c r="F8" s="18" t="inlineStr">
        <is>
          <t>2026-03-31</t>
        </is>
      </c>
    </row>
  </sheetData>
  <autoFilter ref="A4:F4"/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2D8B2D"/>
    <outlinePr summaryBelow="1" summaryRight="1"/>
    <pageSetUpPr fitToPage="1"/>
  </sheetPr>
  <dimension ref="A1:F7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35" customWidth="1" min="3" max="3"/>
    <col width="35" customWidth="1" min="4" max="4"/>
    <col width="22" customWidth="1" min="5" max="5"/>
    <col width="15" customWidth="1" min="6" max="6"/>
  </cols>
  <sheetData>
    <row r="1">
      <c r="A1" s="15" t="inlineStr">
        <is>
          <t>Disagreement Log</t>
        </is>
      </c>
    </row>
    <row r="2">
      <c r="A2" s="16" t="inlineStr">
        <is>
          <t>Book Reference: Chapter 6, 9 — Preserves divergent views rather than forcing false consensus</t>
        </is>
      </c>
    </row>
    <row r="4">
      <c r="A4" s="17" t="inlineStr">
        <is>
          <t>#</t>
        </is>
      </c>
      <c r="B4" s="17" t="inlineStr">
        <is>
          <t>Risk / Topic</t>
        </is>
      </c>
      <c r="C4" s="17" t="inlineStr">
        <is>
          <t>Position A</t>
        </is>
      </c>
      <c r="D4" s="17" t="inlineStr">
        <is>
          <t>Position B</t>
        </is>
      </c>
      <c r="E4" s="17" t="inlineStr">
        <is>
          <t>Resolution</t>
        </is>
      </c>
      <c r="F4" s="17" t="inlineStr">
        <is>
          <t>Status</t>
        </is>
      </c>
    </row>
    <row r="5">
      <c r="A5" s="18" t="n">
        <v>1</v>
      </c>
      <c r="B5" s="18" t="inlineStr">
        <is>
          <t>CRE Concentration (CR-002)</t>
        </is>
      </c>
      <c r="C5" s="18" t="inlineStr">
        <is>
          <t>Head of Credit: "Residual score should be 2.5 — controls are adequate and LTV caps prevent tail losses"</t>
        </is>
      </c>
      <c r="D5" s="18" t="inlineStr">
        <is>
          <t>CRO: "Residual should be 3.0+ — SVB/Signature showed CRE risk is systematically underestimated"</t>
        </is>
      </c>
      <c r="E5" s="18" t="inlineStr">
        <is>
          <t>Resolved — Position B</t>
        </is>
      </c>
      <c r="F5" s="18" t="inlineStr">
        <is>
          <t>Resolved - Position B</t>
        </is>
      </c>
    </row>
    <row r="6">
      <c r="A6" s="18" t="n">
        <v>2</v>
      </c>
      <c r="B6" s="18" t="inlineStr">
        <is>
          <t>Cyber risk materiality (OR-001)</t>
        </is>
      </c>
      <c r="C6" s="18" t="inlineStr">
        <is>
          <t>CTO: "Residual score of 2.3 — we have best-in-class controls"</t>
        </is>
      </c>
      <c r="D6" s="18" t="inlineStr">
        <is>
          <t>Head of Ops Risk: "Should be 3.0 — 3 P1 incidents in 12 months shows controls are not as effective as claimed"</t>
        </is>
      </c>
      <c r="E6" s="18" t="inlineStr">
        <is>
          <t>Escalated to CRO; scored at 2.7 with action plan</t>
        </is>
      </c>
      <c r="F6" s="18" t="inlineStr">
        <is>
          <t>Escalated to CRO</t>
        </is>
      </c>
    </row>
    <row r="7">
      <c r="A7" s="18" t="n">
        <v>3</v>
      </c>
      <c r="B7" s="18" t="inlineStr">
        <is>
          <t>Deposit behavioural maturity assumption</t>
        </is>
      </c>
      <c r="C7" s="18" t="inlineStr">
        <is>
          <t>Treasury: "3-5 year assumption is conservative enough"</t>
        </is>
      </c>
      <c r="D7" s="18" t="inlineStr">
        <is>
          <t>Risk Analytics: "Post-SVB, we need to model a scenario where 30% of deposits leave in 48 hours"</t>
        </is>
      </c>
      <c r="E7" s="18" t="inlineStr">
        <is>
          <t>Evidence Requested — Analytics to provide updated analysis by Q2</t>
        </is>
      </c>
      <c r="F7" s="18" t="inlineStr">
        <is>
          <t>Evidence Requested</t>
        </is>
      </c>
    </row>
  </sheetData>
  <autoFilter ref="A4:F4"/>
  <dataValidations count="1">
    <dataValidation sqref="F5:F200" showDropDown="0" showInputMessage="0" showErrorMessage="0" allowBlank="1" errorTitle="Invalid Entry" error="Please select from the list" type="list">
      <formula1>"Open,Evidence Requested,Resolved - Position A,Resolved - Position B,Escalated to CRO"</formula1>
    </dataValidation>
  </dataValidation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2D8B2D"/>
    <outlinePr summaryBelow="1" summaryRight="1"/>
    <pageSetUpPr fitToPage="1"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35" customWidth="1" min="3" max="3"/>
    <col width="25" customWidth="1" min="4" max="4"/>
    <col width="15" customWidth="1" min="5" max="5"/>
  </cols>
  <sheetData>
    <row r="1">
      <c r="A1" s="15" t="inlineStr">
        <is>
          <t>Event-Driven Trigger Framework</t>
        </is>
      </c>
    </row>
    <row r="2">
      <c r="A2" s="16" t="inlineStr">
        <is>
          <t>Book Reference: Chapter 13, 16 — Six categories requiring immediate risk review</t>
        </is>
      </c>
    </row>
    <row r="4">
      <c r="A4" s="17" t="inlineStr">
        <is>
          <t>Trigger Category</t>
        </is>
      </c>
      <c r="B4" s="17" t="inlineStr">
        <is>
          <t>Description</t>
        </is>
      </c>
      <c r="C4" s="17" t="inlineStr">
        <is>
          <t>Examples</t>
        </is>
      </c>
      <c r="D4" s="17" t="inlineStr">
        <is>
          <t>Response Required</t>
        </is>
      </c>
      <c r="E4" s="17" t="inlineStr">
        <is>
          <t>Owner</t>
        </is>
      </c>
    </row>
    <row r="5">
      <c r="A5" s="23" t="inlineStr">
        <is>
          <t>1. Market Dislocation</t>
        </is>
      </c>
      <c r="B5" s="23" t="inlineStr">
        <is>
          <t>Significant market events affecting risk profile</t>
        </is>
      </c>
      <c r="C5" s="23" t="inlineStr">
        <is>
          <t>Interest rate shock, credit spread widening, FX crisis, equity crash &gt;10%</t>
        </is>
      </c>
      <c r="D5" s="23" t="inlineStr">
        <is>
          <t>Immediate risk inventory review within 48 hours</t>
        </is>
      </c>
      <c r="E5" s="23" t="inlineStr">
        <is>
          <t>Head of Market Risk</t>
        </is>
      </c>
    </row>
    <row r="6">
      <c r="A6" s="23" t="inlineStr">
        <is>
          <t>2. Regulatory Change</t>
        </is>
      </c>
      <c r="B6" s="23" t="inlineStr">
        <is>
          <t>New regulation, enforcement action, or supervisory communication</t>
        </is>
      </c>
      <c r="C6" s="23" t="inlineStr">
        <is>
          <t>New capital requirements, sanctions changes, conduct findings, DORA deadlines</t>
        </is>
      </c>
      <c r="D6" s="23" t="inlineStr">
        <is>
          <t>Impact assessment within 1 week</t>
        </is>
      </c>
      <c r="E6" s="23" t="inlineStr">
        <is>
          <t>Head of Compliance</t>
        </is>
      </c>
    </row>
    <row r="7">
      <c r="A7" s="23" t="inlineStr">
        <is>
          <t>3. Peer Event</t>
        </is>
      </c>
      <c r="B7" s="23" t="inlineStr">
        <is>
          <t>Material loss or failure at comparable institution</t>
        </is>
      </c>
      <c r="C7" s="23" t="inlineStr">
        <is>
          <t>Peer bank failure, industry-wide fraud discovery, systemic event</t>
        </is>
      </c>
      <c r="D7" s="23" t="inlineStr">
        <is>
          <t>Relevance assessment within 1 week</t>
        </is>
      </c>
      <c r="E7" s="23" t="inlineStr">
        <is>
          <t>CRO</t>
        </is>
      </c>
    </row>
    <row r="8">
      <c r="A8" s="23" t="inlineStr">
        <is>
          <t>4. Internal Incident</t>
        </is>
      </c>
      <c r="B8" s="23" t="inlineStr">
        <is>
          <t>Material operational loss, near-miss, or control failure</t>
        </is>
      </c>
      <c r="C8" s="23" t="inlineStr">
        <is>
          <t>System outage, fraud attempt, significant error, compliance breach</t>
        </is>
      </c>
      <c r="D8" s="23" t="inlineStr">
        <is>
          <t>Root cause analysis + forward-looking assessment</t>
        </is>
      </c>
      <c r="E8" s="23" t="inlineStr">
        <is>
          <t>Head of Ops Risk</t>
        </is>
      </c>
    </row>
    <row r="9">
      <c r="A9" s="23" t="inlineStr">
        <is>
          <t>5. Strategic Change</t>
        </is>
      </c>
      <c r="B9" s="23" t="inlineStr">
        <is>
          <t>M&amp;A, new product/market entry, business model change</t>
        </is>
      </c>
      <c r="C9" s="23" t="inlineStr">
        <is>
          <t>Acquisition, new geography, product launch, major outsourcing</t>
        </is>
      </c>
      <c r="D9" s="23" t="inlineStr">
        <is>
          <t>Pre-decision risk assessment using methodology</t>
        </is>
      </c>
      <c r="E9" s="23" t="inlineStr">
        <is>
          <t>Head of Strategy</t>
        </is>
      </c>
    </row>
    <row r="10">
      <c r="A10" s="23" t="inlineStr">
        <is>
          <t>6. External Environment Shift</t>
        </is>
      </c>
      <c r="B10" s="23" t="inlineStr">
        <is>
          <t>Geopolitical, macroeconomic, or climate event</t>
        </is>
      </c>
      <c r="C10" s="23" t="inlineStr">
        <is>
          <t>War, pandemic, sovereign crisis, natural disaster</t>
        </is>
      </c>
      <c r="D10" s="23" t="inlineStr">
        <is>
          <t>PESTLE refresh + workshop within 2 weeks</t>
        </is>
      </c>
      <c r="E10" s="23" t="inlineStr">
        <is>
          <t>CRO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2D8B2D"/>
    <outlinePr summaryBelow="1" summaryRight="1"/>
    <pageSetUpPr fitToPage="1"/>
  </sheetPr>
  <dimension ref="A1:F1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5" t="inlineStr">
        <is>
          <t>Process Performance Indicators</t>
        </is>
      </c>
    </row>
    <row r="2">
      <c r="A2" s="16" t="inlineStr">
        <is>
          <t>Book Reference: Chapter 3, 12, 13 — KPIs tracking the process itself</t>
        </is>
      </c>
    </row>
    <row r="4">
      <c r="A4" s="17" t="inlineStr">
        <is>
          <t>Indicator</t>
        </is>
      </c>
      <c r="B4" s="17" t="inlineStr">
        <is>
          <t>Target</t>
        </is>
      </c>
      <c r="C4" s="17" t="inlineStr">
        <is>
          <t>Q1 Actual</t>
        </is>
      </c>
      <c r="D4" s="17" t="inlineStr">
        <is>
          <t>Q2 Actual</t>
        </is>
      </c>
      <c r="E4" s="17" t="inlineStr">
        <is>
          <t>Q3 Actual</t>
        </is>
      </c>
      <c r="F4" s="17" t="inlineStr">
        <is>
          <t>Q4 Actual</t>
        </is>
      </c>
    </row>
    <row r="5">
      <c r="A5" s="18" t="inlineStr">
        <is>
          <t>Bottom-up submission completion rate (%)</t>
        </is>
      </c>
      <c r="B5" s="18" t="inlineStr">
        <is>
          <t>100%</t>
        </is>
      </c>
      <c r="C5" s="18" t="inlineStr">
        <is>
          <t>92%</t>
        </is>
      </c>
      <c r="D5" s="18" t="inlineStr"/>
      <c r="E5" s="18" t="inlineStr"/>
      <c r="F5" s="18" t="inlineStr"/>
    </row>
    <row r="6">
      <c r="A6" s="18" t="inlineStr">
        <is>
          <t>Average days to complete bottom-up submissions</t>
        </is>
      </c>
      <c r="B6" s="18" t="inlineStr">
        <is>
          <t>≤ 15 days</t>
        </is>
      </c>
      <c r="C6" s="18" t="inlineStr">
        <is>
          <t>18 days</t>
        </is>
      </c>
      <c r="D6" s="18" t="inlineStr"/>
      <c r="E6" s="18" t="inlineStr"/>
      <c r="F6" s="18" t="inlineStr"/>
    </row>
    <row r="7">
      <c r="A7" s="18" t="inlineStr">
        <is>
          <t>Workshop attendance rate (% of required participants)</t>
        </is>
      </c>
      <c r="B7" s="18" t="inlineStr">
        <is>
          <t>≥ 90%</t>
        </is>
      </c>
      <c r="C7" s="18" t="inlineStr">
        <is>
          <t>94%</t>
        </is>
      </c>
      <c r="D7" s="18" t="inlineStr"/>
      <c r="E7" s="18" t="inlineStr"/>
      <c r="F7" s="18" t="inlineStr"/>
    </row>
    <row r="8">
      <c r="A8" s="18" t="inlineStr">
        <is>
          <t>Gap analysis completion within deadline</t>
        </is>
      </c>
      <c r="B8" s="18" t="inlineStr">
        <is>
          <t>100%</t>
        </is>
      </c>
      <c r="C8" s="18" t="inlineStr">
        <is>
          <t>100%</t>
        </is>
      </c>
      <c r="D8" s="18" t="inlineStr"/>
      <c r="E8" s="18" t="inlineStr"/>
      <c r="F8" s="18" t="inlineStr"/>
    </row>
    <row r="9">
      <c r="A9" s="18" t="inlineStr">
        <is>
          <t>Risk profiles updated within 30 days of assessment</t>
        </is>
      </c>
      <c r="B9" s="18" t="inlineStr">
        <is>
          <t>100%</t>
        </is>
      </c>
      <c r="C9" s="18" t="inlineStr">
        <is>
          <t>86%</t>
        </is>
      </c>
      <c r="D9" s="18" t="inlineStr"/>
      <c r="E9" s="18" t="inlineStr"/>
      <c r="F9" s="18" t="inlineStr"/>
    </row>
    <row r="10">
      <c r="A10" s="18" t="inlineStr">
        <is>
          <t>KRI reporting timeliness (% on time)</t>
        </is>
      </c>
      <c r="B10" s="18" t="inlineStr">
        <is>
          <t>≥ 95%</t>
        </is>
      </c>
      <c r="C10" s="18" t="inlineStr">
        <is>
          <t>97%</t>
        </is>
      </c>
      <c r="D10" s="18" t="inlineStr"/>
      <c r="E10" s="18" t="inlineStr"/>
      <c r="F10" s="18" t="inlineStr"/>
    </row>
    <row r="11">
      <c r="A11" s="18" t="inlineStr">
        <is>
          <t>Data Quality: % of material risks rated High</t>
        </is>
      </c>
      <c r="B11" s="18" t="inlineStr">
        <is>
          <t>≥ 60%</t>
        </is>
      </c>
      <c r="C11" s="18" t="inlineStr">
        <is>
          <t>57%</t>
        </is>
      </c>
      <c r="D11" s="18" t="inlineStr"/>
      <c r="E11" s="18" t="inlineStr"/>
      <c r="F11" s="18" t="inlineStr"/>
    </row>
    <row r="12">
      <c r="A12" s="18" t="inlineStr">
        <is>
          <t>Emerging risks identified per cycle</t>
        </is>
      </c>
      <c r="B12" s="18" t="inlineStr">
        <is>
          <t>≥ 3</t>
        </is>
      </c>
      <c r="C12" s="18" t="inlineStr">
        <is>
          <t>5</t>
        </is>
      </c>
      <c r="D12" s="18" t="inlineStr"/>
      <c r="E12" s="18" t="inlineStr"/>
      <c r="F12" s="18" t="inlineStr"/>
    </row>
    <row r="13">
      <c r="A13" s="18" t="inlineStr">
        <is>
          <t>Scoring calibration variance (cross-BU)</t>
        </is>
      </c>
      <c r="B13" s="18" t="inlineStr">
        <is>
          <t>≤ 0.5</t>
        </is>
      </c>
      <c r="C13" s="18" t="inlineStr">
        <is>
          <t>0.4</t>
        </is>
      </c>
      <c r="D13" s="18" t="inlineStr"/>
      <c r="E13" s="18" t="inlineStr"/>
      <c r="F13" s="18" t="inlineStr"/>
    </row>
    <row r="14">
      <c r="A14" s="18" t="inlineStr">
        <is>
          <t>Internal Audit findings outstanding (count)</t>
        </is>
      </c>
      <c r="B14" s="18" t="inlineStr">
        <is>
          <t>0</t>
        </is>
      </c>
      <c r="C14" s="18" t="inlineStr">
        <is>
          <t>2</t>
        </is>
      </c>
      <c r="D14" s="18" t="inlineStr"/>
      <c r="E14" s="18" t="inlineStr"/>
      <c r="F14" s="18" t="inlineStr"/>
    </row>
    <row r="15">
      <c r="A15" s="18" t="inlineStr">
        <is>
          <t>Days from event trigger to risk review completion</t>
        </is>
      </c>
      <c r="B15" s="18" t="inlineStr">
        <is>
          <t>≤ 5 days</t>
        </is>
      </c>
      <c r="C15" s="18" t="inlineStr">
        <is>
          <t>3 days</t>
        </is>
      </c>
      <c r="D15" s="18" t="inlineStr"/>
      <c r="E15" s="18" t="inlineStr"/>
      <c r="F15" s="18" t="inlineStr"/>
    </row>
    <row r="16">
      <c r="A16" s="18" t="inlineStr">
        <is>
          <t>Board report delivered on schedule</t>
        </is>
      </c>
      <c r="B16" s="18" t="inlineStr">
        <is>
          <t>100%</t>
        </is>
      </c>
      <c r="C16" s="18" t="inlineStr">
        <is>
          <t>100%</t>
        </is>
      </c>
      <c r="D16" s="18" t="inlineStr"/>
      <c r="E16" s="18" t="inlineStr"/>
      <c r="F16" s="18" t="inlineStr"/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2D8B2D"/>
    <outlinePr summaryBelow="1" summaryRight="1"/>
    <pageSetUpPr fitToPage="1"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20" customWidth="1" min="3" max="3"/>
    <col width="15" customWidth="1" min="4" max="4"/>
    <col width="15" customWidth="1" min="5" max="5"/>
  </cols>
  <sheetData>
    <row r="1">
      <c r="A1" s="15" t="inlineStr">
        <is>
          <t>Training Programme (Five-Level)</t>
        </is>
      </c>
    </row>
    <row r="2">
      <c r="A2" s="16" t="inlineStr">
        <is>
          <t>Book Reference: Chapter 13 — Structured training by audience level</t>
        </is>
      </c>
    </row>
    <row r="4">
      <c r="A4" s="17" t="inlineStr">
        <is>
          <t>Audience</t>
        </is>
      </c>
      <c r="B4" s="17" t="inlineStr">
        <is>
          <t>Content</t>
        </is>
      </c>
      <c r="C4" s="17" t="inlineStr">
        <is>
          <t>Frequency</t>
        </is>
      </c>
      <c r="D4" s="17" t="inlineStr">
        <is>
          <t>Delivery</t>
        </is>
      </c>
      <c r="E4" s="17" t="inlineStr">
        <is>
          <t>Status</t>
        </is>
      </c>
    </row>
    <row r="5">
      <c r="A5" s="23" t="inlineStr">
        <is>
          <t>Board / Board Risk Committee</t>
        </is>
      </c>
      <c r="B5" s="23" t="inlineStr">
        <is>
          <t>Methodology overview, how to challenge risk assessments, appetite framework, interpreting the principal risk report</t>
        </is>
      </c>
      <c r="C5" s="23" t="inlineStr">
        <is>
          <t>Annual + ad hoc</t>
        </is>
      </c>
      <c r="D5" s="23" t="inlineStr">
        <is>
          <t>Presentation</t>
        </is>
      </c>
      <c r="E5" s="23" t="inlineStr">
        <is>
          <t>Scheduled</t>
        </is>
      </c>
    </row>
    <row r="6">
      <c r="A6" s="23" t="inlineStr">
        <is>
          <t>CRO Function / Risk ID Team</t>
        </is>
      </c>
      <c r="B6" s="23" t="inlineStr">
        <is>
          <t>Full methodology, scoring calibration, facilitation skills, data quality assessment, integration requirements</t>
        </is>
      </c>
      <c r="C6" s="23" t="inlineStr">
        <is>
          <t>Annual + quarterly</t>
        </is>
      </c>
      <c r="D6" s="23" t="inlineStr">
        <is>
          <t>Workshop</t>
        </is>
      </c>
      <c r="E6" s="23" t="inlineStr">
        <is>
          <t>Complete</t>
        </is>
      </c>
    </row>
    <row r="7">
      <c r="A7" s="23" t="inlineStr">
        <is>
          <t>Business Unit Risk Leads</t>
        </is>
      </c>
      <c r="B7" s="23" t="inlineStr">
        <is>
          <t>Bottom-up template completion, specialist assessments, data quality standards, escalation criteria</t>
        </is>
      </c>
      <c r="C7" s="23" t="inlineStr">
        <is>
          <t>Annual</t>
        </is>
      </c>
      <c r="D7" s="23" t="inlineStr">
        <is>
          <t>Workshop</t>
        </is>
      </c>
      <c r="E7" s="23" t="inlineStr">
        <is>
          <t>Scheduled</t>
        </is>
      </c>
    </row>
    <row r="8">
      <c r="A8" s="23" t="inlineStr">
        <is>
          <t>Front-Line Employees</t>
        </is>
      </c>
      <c r="B8" s="23" t="inlineStr">
        <is>
          <t>Risk awareness, how to identify and report risks, escalation procedures, case studies</t>
        </is>
      </c>
      <c r="C8" s="23" t="inlineStr">
        <is>
          <t>Annual</t>
        </is>
      </c>
      <c r="D8" s="23" t="inlineStr">
        <is>
          <t>e-Learning</t>
        </is>
      </c>
      <c r="E8" s="23" t="inlineStr">
        <is>
          <t>In Progress</t>
        </is>
      </c>
    </row>
    <row r="9">
      <c r="A9" s="23" t="inlineStr">
        <is>
          <t>Internal Audit</t>
        </is>
      </c>
      <c r="B9" s="23" t="inlineStr">
        <is>
          <t>Methodology in detail, audit criteria, seven-area programme, regulatory expectations for independent assurance</t>
        </is>
      </c>
      <c r="C9" s="23" t="inlineStr">
        <is>
          <t>Annual</t>
        </is>
      </c>
      <c r="D9" s="23" t="inlineStr">
        <is>
          <t>Workshop</t>
        </is>
      </c>
      <c r="E9" s="23" t="inlineStr">
        <is>
          <t>Complete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2D8B2D"/>
    <outlinePr summaryBelow="1" summaryRight="1"/>
    <pageSetUpPr fitToPage="1"/>
  </sheetPr>
  <dimension ref="A1:F1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5" customWidth="1" min="2" max="2"/>
    <col width="50" customWidth="1" min="3" max="3"/>
    <col width="18" customWidth="1" min="4" max="4"/>
    <col width="30" customWidth="1" min="5" max="5"/>
    <col width="14" customWidth="1" min="6" max="6"/>
  </cols>
  <sheetData>
    <row r="1">
      <c r="A1" s="15" t="inlineStr">
        <is>
          <t>Internal Audit Annual Programme (Seven Areas)</t>
        </is>
      </c>
    </row>
    <row r="2">
      <c r="A2" s="16" t="inlineStr">
        <is>
          <t>Book Reference: Chapter 13 — Independent assurance over risk identification</t>
        </is>
      </c>
    </row>
    <row r="4">
      <c r="A4" s="17" t="inlineStr">
        <is>
          <t>Area</t>
        </is>
      </c>
      <c r="B4" s="17" t="inlineStr">
        <is>
          <t>Audit Domain</t>
        </is>
      </c>
      <c r="C4" s="17" t="inlineStr">
        <is>
          <t>Key Questions</t>
        </is>
      </c>
      <c r="D4" s="17" t="inlineStr">
        <is>
          <t>Rating</t>
        </is>
      </c>
      <c r="E4" s="17" t="inlineStr">
        <is>
          <t>Findings</t>
        </is>
      </c>
      <c r="F4" s="17" t="inlineStr">
        <is>
          <t>Action Due</t>
        </is>
      </c>
    </row>
    <row r="5">
      <c r="A5" s="18" t="n">
        <v>1</v>
      </c>
      <c r="B5" s="18" t="inlineStr">
        <is>
          <t>Completeness</t>
        </is>
      </c>
      <c r="C5" s="18" t="inlineStr">
        <is>
          <t>Does the inventory cover all material risks? Are there gaps vs regulatory expectations? Were emerging risks considered?</t>
        </is>
      </c>
      <c r="D5" s="18" t="inlineStr">
        <is>
          <t>Satisfactory</t>
        </is>
      </c>
      <c r="E5" s="18" t="inlineStr">
        <is>
          <t>All principal risks covered; minor gap in third-party risk granularity</t>
        </is>
      </c>
      <c r="F5" s="18" t="inlineStr">
        <is>
          <t>2026-03-31</t>
        </is>
      </c>
    </row>
    <row r="6">
      <c r="A6" s="18" t="n">
        <v>2</v>
      </c>
      <c r="B6" s="18" t="inlineStr">
        <is>
          <t>Quality</t>
        </is>
      </c>
      <c r="C6" s="18" t="inlineStr">
        <is>
          <t>Are risk definitions clear? Are scores evidence-based? Is there scoring consistency across BUs?</t>
        </is>
      </c>
      <c r="D6" s="18" t="inlineStr">
        <is>
          <t>Needs Improvement</t>
        </is>
      </c>
      <c r="E6" s="18" t="inlineStr">
        <is>
          <t>Scoring variance across BUs (0.4 avg); 3 risk definitions too vague</t>
        </is>
      </c>
      <c r="F6" s="18" t="inlineStr">
        <is>
          <t>2026-03-31</t>
        </is>
      </c>
    </row>
    <row r="7">
      <c r="A7" s="18" t="n">
        <v>3</v>
      </c>
      <c r="B7" s="18" t="inlineStr">
        <is>
          <t>Reconciliation</t>
        </is>
      </c>
      <c r="C7" s="18" t="inlineStr">
        <is>
          <t>Was the top-down / bottom-up reconciliation documented? Were gaps resolved? Is the audit trail complete?</t>
        </is>
      </c>
      <c r="D7" s="18" t="inlineStr">
        <is>
          <t>Satisfactory</t>
        </is>
      </c>
      <c r="E7" s="18" t="inlineStr">
        <is>
          <t>Full documentation; 5 gaps identified and resolved; 1 escalated to principal risk list</t>
        </is>
      </c>
      <c r="F7" s="18" t="inlineStr"/>
    </row>
    <row r="8">
      <c r="A8" s="18" t="n">
        <v>4</v>
      </c>
      <c r="B8" s="18" t="inlineStr">
        <is>
          <t>Data Quality</t>
        </is>
      </c>
      <c r="C8" s="18" t="inlineStr">
        <is>
          <t>Are data quality ratings accurate? Are conservatism adjustments applied where data is weak?</t>
        </is>
      </c>
      <c r="D8" s="18" t="inlineStr">
        <is>
          <t>Needs Improvement</t>
        </is>
      </c>
      <c r="E8" s="18" t="inlineStr">
        <is>
          <t>2 risks rated "High" quality without sufficient evidence; conservatism adjustments not consistently applied</t>
        </is>
      </c>
      <c r="F8" s="18" t="inlineStr">
        <is>
          <t>2026-06-30</t>
        </is>
      </c>
    </row>
    <row r="9">
      <c r="A9" s="18" t="n">
        <v>5</v>
      </c>
      <c r="B9" s="18" t="inlineStr">
        <is>
          <t>Documentation</t>
        </is>
      </c>
      <c r="C9" s="18" t="inlineStr">
        <is>
          <t>Are risk profiles complete for all material risks? Is the audit trail maintained?</t>
        </is>
      </c>
      <c r="D9" s="18" t="inlineStr">
        <is>
          <t>Satisfactory</t>
        </is>
      </c>
      <c r="E9" s="18" t="inlineStr">
        <is>
          <t>All 6 material risks have profiles; version control in place</t>
        </is>
      </c>
      <c r="F9" s="18" t="inlineStr"/>
    </row>
    <row r="10">
      <c r="A10" s="18" t="n">
        <v>6</v>
      </c>
      <c r="B10" s="18" t="inlineStr">
        <is>
          <t>Integration</t>
        </is>
      </c>
      <c r="C10" s="18" t="inlineStr">
        <is>
          <t>Does the inventory feed capital planning? Are stress scenarios linked to identified risks?</t>
        </is>
      </c>
      <c r="D10" s="18" t="inlineStr">
        <is>
          <t>Satisfactory</t>
        </is>
      </c>
      <c r="E10" s="18" t="inlineStr">
        <is>
          <t>ICAAP integration complete; ILAAP linkage adequate; CCAR mapping documented</t>
        </is>
      </c>
      <c r="F10" s="18" t="inlineStr"/>
    </row>
    <row r="11">
      <c r="A11" s="18" t="n">
        <v>7</v>
      </c>
      <c r="B11" s="18" t="inlineStr">
        <is>
          <t>Continual Improvement</t>
        </is>
      </c>
      <c r="C11" s="18" t="inlineStr">
        <is>
          <t>Are lessons learned actioned? Are process KPIs tracked? Has the methodology evolved?</t>
        </is>
      </c>
      <c r="D11" s="18" t="inlineStr">
        <is>
          <t>Needs Improvement</t>
        </is>
      </c>
      <c r="E11" s="18" t="inlineStr">
        <is>
          <t>Lessons learned log exists but 3 actions overdue; KPIs tracked but not reported to Board</t>
        </is>
      </c>
      <c r="F11" s="18" t="inlineStr">
        <is>
          <t>2026-06-30</t>
        </is>
      </c>
    </row>
  </sheetData>
  <conditionalFormatting sqref="D5:D20">
    <cfRule type="cellIs" priority="1" operator="equal" dxfId="4">
      <formula>"Satisfactory"</formula>
    </cfRule>
    <cfRule type="cellIs" priority="2" operator="equal" dxfId="5">
      <formula>"Needs Improvement"</formula>
    </cfRule>
    <cfRule type="cellIs" priority="3" operator="equal" dxfId="6">
      <formula>"Unsatisfactory"</formula>
    </cfRule>
  </conditionalFormatting>
  <dataValidations count="1">
    <dataValidation sqref="D5:D20" showDropDown="0" showInputMessage="0" showErrorMessage="0" allowBlank="1" errorTitle="Invalid Entry" error="Please select from the list" type="list">
      <formula1>"Satisfactory,Needs Improvement,Unsatisfactory"</formula1>
    </dataValidation>
  </dataValidation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2D8B2D"/>
    <outlinePr summaryBelow="1" summaryRight="1"/>
    <pageSetUpPr fitToPage="1"/>
  </sheetPr>
  <dimension ref="A1:G2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5" t="inlineStr">
        <is>
          <t>Regulatory Traceability Matrix</t>
        </is>
      </c>
    </row>
    <row r="2">
      <c r="A2" s="16" t="inlineStr">
        <is>
          <t>Book Reference: Chapter 15 — Maps methodology phases to regulatory requirements</t>
        </is>
      </c>
    </row>
    <row r="4">
      <c r="A4" s="17" t="inlineStr">
        <is>
          <t>Regulatory Framework</t>
        </is>
      </c>
      <c r="B4" s="17" t="inlineStr">
        <is>
          <t>Phase 1
Foundation</t>
        </is>
      </c>
      <c r="C4" s="17" t="inlineStr">
        <is>
          <t>Phase 2
Identification</t>
        </is>
      </c>
      <c r="D4" s="17" t="inlineStr">
        <is>
          <t>Phase 3
Reconciliation</t>
        </is>
      </c>
      <c r="E4" s="17" t="inlineStr">
        <is>
          <t>Phase 4
Assessment</t>
        </is>
      </c>
      <c r="F4" s="17" t="inlineStr">
        <is>
          <t>Phase 5
Interaction</t>
        </is>
      </c>
      <c r="G4" s="17" t="inlineStr">
        <is>
          <t>Phase 6
Documentation</t>
        </is>
      </c>
    </row>
    <row r="5">
      <c r="A5" s="18" t="inlineStr">
        <is>
          <t>ISO 31000:2018</t>
        </is>
      </c>
      <c r="B5" s="18" t="inlineStr">
        <is>
          <t>✓ Direct</t>
        </is>
      </c>
      <c r="C5" s="18" t="inlineStr">
        <is>
          <t>✓ Direct</t>
        </is>
      </c>
      <c r="D5" s="18" t="inlineStr">
        <is>
          <t>✓ Direct</t>
        </is>
      </c>
      <c r="E5" s="18" t="inlineStr">
        <is>
          <t>✓ Direct</t>
        </is>
      </c>
      <c r="F5" s="18" t="inlineStr">
        <is>
          <t>✓ Indirect</t>
        </is>
      </c>
      <c r="G5" s="18" t="inlineStr">
        <is>
          <t>✓ Direct</t>
        </is>
      </c>
    </row>
    <row r="6">
      <c r="A6" s="18" t="inlineStr">
        <is>
          <t>ISO 31010:2019</t>
        </is>
      </c>
      <c r="B6" s="18" t="inlineStr">
        <is>
          <t>◐ Partial</t>
        </is>
      </c>
      <c r="C6" s="18" t="inlineStr">
        <is>
          <t>✓ Direct</t>
        </is>
      </c>
      <c r="D6" s="18" t="inlineStr">
        <is>
          <t>◐ Partial</t>
        </is>
      </c>
      <c r="E6" s="18" t="inlineStr">
        <is>
          <t>✓ Direct</t>
        </is>
      </c>
      <c r="F6" s="18" t="inlineStr">
        <is>
          <t>✓ Direct</t>
        </is>
      </c>
      <c r="G6" s="18" t="inlineStr">
        <is>
          <t>◐ Partial</t>
        </is>
      </c>
    </row>
    <row r="7">
      <c r="A7" s="18" t="inlineStr">
        <is>
          <t>COSO ERM (2017)</t>
        </is>
      </c>
      <c r="B7" s="18" t="inlineStr">
        <is>
          <t>✓ Direct</t>
        </is>
      </c>
      <c r="C7" s="18" t="inlineStr">
        <is>
          <t>✓ Direct</t>
        </is>
      </c>
      <c r="D7" s="18" t="inlineStr">
        <is>
          <t>✓ Direct</t>
        </is>
      </c>
      <c r="E7" s="18" t="inlineStr">
        <is>
          <t>✓ Direct</t>
        </is>
      </c>
      <c r="F7" s="18" t="inlineStr">
        <is>
          <t>✓ Direct</t>
        </is>
      </c>
      <c r="G7" s="18" t="inlineStr">
        <is>
          <t>✓ Direct</t>
        </is>
      </c>
    </row>
    <row r="8">
      <c r="A8" s="18" t="inlineStr">
        <is>
          <t>BCBS Corporate Governance (2015)</t>
        </is>
      </c>
      <c r="B8" s="18" t="inlineStr">
        <is>
          <t>✓ Direct</t>
        </is>
      </c>
      <c r="C8" s="18" t="inlineStr">
        <is>
          <t>✓ Direct</t>
        </is>
      </c>
      <c r="D8" s="18" t="inlineStr">
        <is>
          <t>✓ Indirect</t>
        </is>
      </c>
      <c r="E8" s="18" t="inlineStr">
        <is>
          <t>✓ Direct</t>
        </is>
      </c>
      <c r="F8" s="18" t="inlineStr">
        <is>
          <t>◐ Partial</t>
        </is>
      </c>
      <c r="G8" s="18" t="inlineStr">
        <is>
          <t>✓ Direct</t>
        </is>
      </c>
    </row>
    <row r="9">
      <c r="A9" s="18" t="inlineStr">
        <is>
          <t>PRA SS31/15 (UK)</t>
        </is>
      </c>
      <c r="B9" s="18" t="inlineStr">
        <is>
          <t>✓ Direct</t>
        </is>
      </c>
      <c r="C9" s="18" t="inlineStr">
        <is>
          <t>✓ Direct</t>
        </is>
      </c>
      <c r="D9" s="18" t="inlineStr">
        <is>
          <t>✓ Direct</t>
        </is>
      </c>
      <c r="E9" s="18" t="inlineStr">
        <is>
          <t>✓ Direct</t>
        </is>
      </c>
      <c r="F9" s="18" t="inlineStr">
        <is>
          <t>✓ Direct</t>
        </is>
      </c>
      <c r="G9" s="18" t="inlineStr">
        <is>
          <t>✓ Direct</t>
        </is>
      </c>
    </row>
    <row r="10">
      <c r="A10" s="18" t="inlineStr">
        <is>
          <t>Fed SR 15-18 (US)</t>
        </is>
      </c>
      <c r="B10" s="18" t="inlineStr">
        <is>
          <t>✓ Direct</t>
        </is>
      </c>
      <c r="C10" s="18" t="inlineStr">
        <is>
          <t>✓ Direct</t>
        </is>
      </c>
      <c r="D10" s="18" t="inlineStr">
        <is>
          <t>✓ Direct</t>
        </is>
      </c>
      <c r="E10" s="18" t="inlineStr">
        <is>
          <t>✓ Direct</t>
        </is>
      </c>
      <c r="F10" s="18" t="inlineStr">
        <is>
          <t>✓ Indirect</t>
        </is>
      </c>
      <c r="G10" s="18" t="inlineStr">
        <is>
          <t>✓ Direct</t>
        </is>
      </c>
    </row>
    <row r="11">
      <c r="A11" s="18" t="inlineStr">
        <is>
          <t>ECB Guide to ICAAP (EU)</t>
        </is>
      </c>
      <c r="B11" s="18" t="inlineStr">
        <is>
          <t>✓ Direct</t>
        </is>
      </c>
      <c r="C11" s="18" t="inlineStr">
        <is>
          <t>✓ Direct</t>
        </is>
      </c>
      <c r="D11" s="18" t="inlineStr">
        <is>
          <t>✓ Direct</t>
        </is>
      </c>
      <c r="E11" s="18" t="inlineStr">
        <is>
          <t>✓ Direct</t>
        </is>
      </c>
      <c r="F11" s="18" t="inlineStr">
        <is>
          <t>✓ Direct</t>
        </is>
      </c>
      <c r="G11" s="18" t="inlineStr">
        <is>
          <t>✓ Direct</t>
        </is>
      </c>
    </row>
    <row r="12">
      <c r="A12" s="18" t="inlineStr">
        <is>
          <t>EBA GL on ICAAP/ILAAP</t>
        </is>
      </c>
      <c r="B12" s="18" t="inlineStr">
        <is>
          <t>✓ Direct</t>
        </is>
      </c>
      <c r="C12" s="18" t="inlineStr">
        <is>
          <t>✓ Direct</t>
        </is>
      </c>
      <c r="D12" s="18" t="inlineStr">
        <is>
          <t>✓ Direct</t>
        </is>
      </c>
      <c r="E12" s="18" t="inlineStr">
        <is>
          <t>✓ Direct</t>
        </is>
      </c>
      <c r="F12" s="18" t="inlineStr">
        <is>
          <t>◐ Partial</t>
        </is>
      </c>
      <c r="G12" s="18" t="inlineStr">
        <is>
          <t>✓ Direct</t>
        </is>
      </c>
    </row>
    <row r="13">
      <c r="A13" s="18" t="inlineStr">
        <is>
          <t>CRD V / CRR II</t>
        </is>
      </c>
      <c r="B13" s="18" t="inlineStr">
        <is>
          <t>✓ Indirect</t>
        </is>
      </c>
      <c r="C13" s="18" t="inlineStr">
        <is>
          <t>◐ Partial</t>
        </is>
      </c>
      <c r="D13" s="18" t="inlineStr">
        <is>
          <t>— N/A</t>
        </is>
      </c>
      <c r="E13" s="18" t="inlineStr">
        <is>
          <t>✓ Direct</t>
        </is>
      </c>
      <c r="F13" s="18" t="inlineStr">
        <is>
          <t>◐ Partial</t>
        </is>
      </c>
      <c r="G13" s="18" t="inlineStr">
        <is>
          <t>✓ Direct</t>
        </is>
      </c>
    </row>
    <row r="14">
      <c r="A14" s="18" t="inlineStr">
        <is>
          <t>DORA (EU)</t>
        </is>
      </c>
      <c r="B14" s="18" t="inlineStr">
        <is>
          <t>◐ Partial</t>
        </is>
      </c>
      <c r="C14" s="18" t="inlineStr">
        <is>
          <t>✓ Indirect</t>
        </is>
      </c>
      <c r="D14" s="18" t="inlineStr">
        <is>
          <t>— N/A</t>
        </is>
      </c>
      <c r="E14" s="18" t="inlineStr">
        <is>
          <t>✓ Direct</t>
        </is>
      </c>
      <c r="F14" s="18" t="inlineStr">
        <is>
          <t>◐ Partial</t>
        </is>
      </c>
      <c r="G14" s="18" t="inlineStr">
        <is>
          <t>✓ Direct</t>
        </is>
      </c>
    </row>
    <row r="15">
      <c r="A15" s="18" t="inlineStr">
        <is>
          <t>EBA GL on ICT Risk</t>
        </is>
      </c>
      <c r="B15" s="18" t="inlineStr">
        <is>
          <t>◐ Partial</t>
        </is>
      </c>
      <c r="C15" s="18" t="inlineStr">
        <is>
          <t>✓ Indirect</t>
        </is>
      </c>
      <c r="D15" s="18" t="inlineStr">
        <is>
          <t>— N/A</t>
        </is>
      </c>
      <c r="E15" s="18" t="inlineStr">
        <is>
          <t>✓ Direct</t>
        </is>
      </c>
      <c r="F15" s="18" t="inlineStr">
        <is>
          <t>◐ Partial</t>
        </is>
      </c>
      <c r="G15" s="18" t="inlineStr">
        <is>
          <t>✓ Direct</t>
        </is>
      </c>
    </row>
    <row r="16">
      <c r="A16" s="18" t="inlineStr">
        <is>
          <t>EBA Outsourcing Guidelines</t>
        </is>
      </c>
      <c r="B16" s="18" t="inlineStr">
        <is>
          <t>◐ Partial</t>
        </is>
      </c>
      <c r="C16" s="18" t="inlineStr">
        <is>
          <t>✓ Indirect</t>
        </is>
      </c>
      <c r="D16" s="18" t="inlineStr">
        <is>
          <t>— N/A</t>
        </is>
      </c>
      <c r="E16" s="18" t="inlineStr">
        <is>
          <t>◐ Partial</t>
        </is>
      </c>
      <c r="F16" s="18" t="inlineStr">
        <is>
          <t>◐ Partial</t>
        </is>
      </c>
      <c r="G16" s="18" t="inlineStr">
        <is>
          <t>✓ Direct</t>
        </is>
      </c>
    </row>
    <row r="17">
      <c r="A17" s="18" t="inlineStr">
        <is>
          <t>EU AMLD6</t>
        </is>
      </c>
      <c r="B17" s="18" t="inlineStr">
        <is>
          <t>◐ Partial</t>
        </is>
      </c>
      <c r="C17" s="18" t="inlineStr">
        <is>
          <t>✓ Direct</t>
        </is>
      </c>
      <c r="D17" s="18" t="inlineStr">
        <is>
          <t>— N/A</t>
        </is>
      </c>
      <c r="E17" s="18" t="inlineStr">
        <is>
          <t>✓ Direct</t>
        </is>
      </c>
      <c r="F17" s="18" t="inlineStr">
        <is>
          <t>— N/A</t>
        </is>
      </c>
      <c r="G17" s="18" t="inlineStr">
        <is>
          <t>✓ Direct</t>
        </is>
      </c>
    </row>
    <row r="18">
      <c r="A18" s="18" t="inlineStr">
        <is>
          <t>FCA SYSC (UK)</t>
        </is>
      </c>
      <c r="B18" s="18" t="inlineStr">
        <is>
          <t>✓ Direct</t>
        </is>
      </c>
      <c r="C18" s="18" t="inlineStr">
        <is>
          <t>✓ Direct</t>
        </is>
      </c>
      <c r="D18" s="18" t="inlineStr">
        <is>
          <t>✓ Indirect</t>
        </is>
      </c>
      <c r="E18" s="18" t="inlineStr">
        <is>
          <t>✓ Direct</t>
        </is>
      </c>
      <c r="F18" s="18" t="inlineStr">
        <is>
          <t>◐ Partial</t>
        </is>
      </c>
      <c r="G18" s="18" t="inlineStr">
        <is>
          <t>✓ Direct</t>
        </is>
      </c>
    </row>
    <row r="19">
      <c r="A19" s="18" t="inlineStr">
        <is>
          <t>SM&amp;CR (UK)</t>
        </is>
      </c>
      <c r="B19" s="18" t="inlineStr">
        <is>
          <t>◐ Partial</t>
        </is>
      </c>
      <c r="C19" s="18" t="inlineStr">
        <is>
          <t>✓ Indirect</t>
        </is>
      </c>
      <c r="D19" s="18" t="inlineStr">
        <is>
          <t>— N/A</t>
        </is>
      </c>
      <c r="E19" s="18" t="inlineStr">
        <is>
          <t>◐ Partial</t>
        </is>
      </c>
      <c r="F19" s="18" t="inlineStr">
        <is>
          <t>— N/A</t>
        </is>
      </c>
      <c r="G19" s="18" t="inlineStr">
        <is>
          <t>✓ Direct</t>
        </is>
      </c>
    </row>
    <row r="20">
      <c r="A20" s="18" t="inlineStr">
        <is>
          <t>APRA CPS 220 (AU)</t>
        </is>
      </c>
      <c r="B20" s="18" t="inlineStr">
        <is>
          <t>✓ Direct</t>
        </is>
      </c>
      <c r="C20" s="18" t="inlineStr">
        <is>
          <t>✓ Direct</t>
        </is>
      </c>
      <c r="D20" s="18" t="inlineStr">
        <is>
          <t>✓ Direct</t>
        </is>
      </c>
      <c r="E20" s="18" t="inlineStr">
        <is>
          <t>✓ Direct</t>
        </is>
      </c>
      <c r="F20" s="18" t="inlineStr">
        <is>
          <t>✓ Indirect</t>
        </is>
      </c>
      <c r="G20" s="18" t="inlineStr">
        <is>
          <t>✓ Direct</t>
        </is>
      </c>
    </row>
  </sheetData>
  <conditionalFormatting sqref="B5:G20">
    <cfRule type="cellIs" priority="1" operator="beginsWith" dxfId="4">
      <formula>"✓ Direct"</formula>
    </cfRule>
    <cfRule type="cellIs" priority="2" operator="beginsWith" dxfId="3">
      <formula>"✓ Indirect"</formula>
    </cfRule>
    <cfRule type="cellIs" priority="3" operator="beginsWith" dxfId="2">
      <formula>"◐ Partial"</formula>
    </cfRule>
    <cfRule type="cellIs" priority="4" operator="beginsWith" dxfId="10">
      <formula>"— N/A"</formula>
    </cfRule>
  </conditionalFormatting>
  <dataValidations count="1">
    <dataValidation sqref="B5:G20" showDropDown="0" showInputMessage="0" showErrorMessage="0" allowBlank="1" errorTitle="Invalid Entry" error="Please select from the list" type="list">
      <formula1>"✓ Direct,✓ Indirect,◐ Partial,— N/A"</formula1>
    </dataValidation>
  </dataValidations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tabColor rgb="002D8B2D"/>
    <outlinePr summaryBelow="1" summaryRight="1"/>
    <pageSetUpPr fitToPage="1"/>
  </sheetPr>
  <dimension ref="A1:F11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40" customWidth="1" min="4" max="4"/>
    <col width="25" customWidth="1" min="5" max="5"/>
    <col width="14" customWidth="1" min="6" max="6"/>
  </cols>
  <sheetData>
    <row r="1">
      <c r="A1" s="15" t="inlineStr">
        <is>
          <t>Lessons-Learned Review</t>
        </is>
      </c>
    </row>
    <row r="2">
      <c r="A2" s="16" t="inlineStr">
        <is>
          <t>Book Reference: Chapter 3, 13 — Annual review of process effectiveness</t>
        </is>
      </c>
    </row>
    <row r="4">
      <c r="A4" s="17" t="inlineStr">
        <is>
          <t>#</t>
        </is>
      </c>
      <c r="B4" s="17" t="inlineStr">
        <is>
          <t>Area</t>
        </is>
      </c>
      <c r="C4" s="17" t="inlineStr">
        <is>
          <t>What Worked Well</t>
        </is>
      </c>
      <c r="D4" s="17" t="inlineStr">
        <is>
          <t>What Needs Improvement</t>
        </is>
      </c>
      <c r="E4" s="17" t="inlineStr">
        <is>
          <t>Action / Owner</t>
        </is>
      </c>
      <c r="F4" s="17" t="inlineStr">
        <is>
          <t>Status</t>
        </is>
      </c>
    </row>
    <row r="5">
      <c r="A5" s="18" t="n">
        <v>1</v>
      </c>
      <c r="B5" s="18" t="inlineStr">
        <is>
          <t>Workshop Design &amp; Facilitation</t>
        </is>
      </c>
      <c r="C5" s="18" t="inlineStr">
        <is>
          <t>SWIFT guide words generated 40% more risks than previous unstructured approach; pre-workshop submissions reduced groupthink</t>
        </is>
      </c>
      <c r="D5" s="18" t="inlineStr">
        <is>
          <t>Workshop ran 45 mins over time; PESTLE section too long</t>
        </is>
      </c>
      <c r="E5" s="18" t="inlineStr">
        <is>
          <t>Shorten PESTLE to 15 min summary / Head of Risk ID</t>
        </is>
      </c>
      <c r="F5" s="18" t="inlineStr">
        <is>
          <t>Open</t>
        </is>
      </c>
    </row>
    <row r="6">
      <c r="A6" s="18" t="n">
        <v>2</v>
      </c>
      <c r="B6" s="18" t="inlineStr">
        <is>
          <t>Bottom-Up Template Quality</t>
        </is>
      </c>
      <c r="C6" s="18" t="inlineStr">
        <is>
          <t>Standardised 11-field template improved consistency; data quality ratings helped identify gaps</t>
        </is>
      </c>
      <c r="D6" s="18" t="inlineStr">
        <is>
          <t>3 BUs submitted templates with vague definitions; "emerging risk indicators" field often left blank</t>
        </is>
      </c>
      <c r="E6" s="18" t="inlineStr">
        <is>
          <t>Add worked examples to template; require field completion / BU Risk Leads</t>
        </is>
      </c>
      <c r="F6" s="18" t="inlineStr">
        <is>
          <t>In Progress</t>
        </is>
      </c>
    </row>
    <row r="7">
      <c r="A7" s="18" t="n">
        <v>3</v>
      </c>
      <c r="B7" s="18" t="inlineStr">
        <is>
          <t>Reconciliation Process</t>
        </is>
      </c>
      <c r="C7" s="18" t="inlineStr">
        <is>
          <t>Gap analysis identified 5 top-down gaps and 2 escalation-worthy BU risks</t>
        </is>
      </c>
      <c r="D7" s="18" t="inlineStr">
        <is>
          <t>Process took 3 weeks instead of target 2 weeks; manual spreadsheet reconciliation is error-prone</t>
        </is>
      </c>
      <c r="E7" s="18" t="inlineStr">
        <is>
          <t>Evaluate GRC tool for automated reconciliation / CRO</t>
        </is>
      </c>
      <c r="F7" s="18" t="inlineStr">
        <is>
          <t>Open</t>
        </is>
      </c>
    </row>
    <row r="8">
      <c r="A8" s="18" t="n">
        <v>4</v>
      </c>
      <c r="B8" s="18" t="inlineStr">
        <is>
          <t>Scoring Consistency</t>
        </is>
      </c>
      <c r="C8" s="18" t="inlineStr">
        <is>
          <t>Four-dimensional scoring reduced "everything is a 3" problem; calibration session improved cross-BU alignment</t>
        </is>
      </c>
      <c r="D8" s="18" t="inlineStr">
        <is>
          <t>Vulnerability scores still show highest variance across BUs; speed-of-onset is hard to calibrate</t>
        </is>
      </c>
      <c r="E8" s="18" t="inlineStr">
        <is>
          <t>Add vulnerability scoring examples to training / Head of Risk ID</t>
        </is>
      </c>
      <c r="F8" s="18" t="inlineStr">
        <is>
          <t>Open</t>
        </is>
      </c>
    </row>
    <row r="9">
      <c r="A9" s="18" t="n">
        <v>5</v>
      </c>
      <c r="B9" s="18" t="inlineStr">
        <is>
          <t>Data Quality</t>
        </is>
      </c>
      <c r="C9" s="18" t="inlineStr">
        <is>
          <t>Data quality ratings added transparency; conservatism adjustments applied to 4 risks</t>
        </is>
      </c>
      <c r="D9" s="18" t="inlineStr">
        <is>
          <t>DQ assessment criteria not well understood by BUs; "Medium" rating used as default</t>
        </is>
      </c>
      <c r="E9" s="18" t="inlineStr">
        <is>
          <t>Revise DQ criteria with examples; training for BU leads / Risk Analytics</t>
        </is>
      </c>
      <c r="F9" s="18" t="inlineStr">
        <is>
          <t>Open</t>
        </is>
      </c>
    </row>
    <row r="10">
      <c r="A10" s="18" t="n">
        <v>6</v>
      </c>
      <c r="B10" s="18" t="inlineStr">
        <is>
          <t>Board Reporting</t>
        </is>
      </c>
      <c r="C10" s="18" t="inlineStr">
        <is>
          <t>Principal risk report well-received; dominant dimension analysis was new and valued</t>
        </is>
      </c>
      <c r="D10" s="18" t="inlineStr">
        <is>
          <t>Board requested more forward-looking content; trend arrows alone not sufficient</t>
        </is>
      </c>
      <c r="E10" s="18" t="inlineStr">
        <is>
          <t>Add 12-month outlook narrative per risk / CRO</t>
        </is>
      </c>
      <c r="F10" s="18" t="inlineStr">
        <is>
          <t>In Progress</t>
        </is>
      </c>
    </row>
    <row r="11">
      <c r="A11" s="18" t="n">
        <v>7</v>
      </c>
      <c r="B11" s="18" t="inlineStr">
        <is>
          <t>Regulatory Alignment</t>
        </is>
      </c>
      <c r="C11" s="18" t="inlineStr">
        <is>
          <t>Traceability matrix confirmed full coverage of PRA SS31/15 and Fed SR 15-18</t>
        </is>
      </c>
      <c r="D11" s="18" t="inlineStr">
        <is>
          <t>DORA alignment gaps identified; EBA outsourcing guidelines not fully mapped</t>
        </is>
      </c>
      <c r="E11" s="18" t="inlineStr">
        <is>
          <t>Complete DORA gap analysis / Compliance</t>
        </is>
      </c>
      <c r="F11" s="18" t="inlineStr">
        <is>
          <t>In Progress</t>
        </is>
      </c>
    </row>
  </sheetData>
  <autoFilter ref="A4:F4"/>
  <conditionalFormatting sqref="F5:F50">
    <cfRule type="cellIs" priority="1" operator="equal" dxfId="6">
      <formula>"Open"</formula>
    </cfRule>
    <cfRule type="cellIs" priority="2" operator="equal" dxfId="5">
      <formula>"In Progress"</formula>
    </cfRule>
    <cfRule type="cellIs" priority="3" operator="equal" dxfId="4">
      <formula>"Resolved"</formula>
    </cfRule>
    <cfRule type="cellIs" priority="4" operator="equal" dxfId="7">
      <formula>"Escalated"</formula>
    </cfRule>
    <cfRule type="cellIs" priority="5" operator="equal" dxfId="4">
      <formula>"Complete"</formula>
    </cfRule>
  </conditionalFormatting>
  <dataValidations count="1">
    <dataValidation sqref="F5:F50" showDropDown="0" showInputMessage="0" showErrorMessage="0" allowBlank="1" errorTitle="Invalid Entry" error="Please select from the list" type="list">
      <formula1>"Open,In Progress,Complete"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2026-02-12T17:49:26Z</dcterms:created>
  <dcterms:modified xmlns:dcterms="http://purl.org/dc/terms/" xmlns:xsi="http://www.w3.org/2001/XMLSchema-instance" xsi:type="dcterms:W3CDTF">2026-02-12T17:49:46Z</dcterms:modified>
</cp:coreProperties>
</file>
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Risk Taxonomy" sheetId="2" state="visible" r:id="rId2"/>
    <sheet xmlns:r="http://schemas.openxmlformats.org/officeDocument/2006/relationships" name="2. Reg Mapping" sheetId="3" state="visible" r:id="rId3"/>
    <sheet xmlns:r="http://schemas.openxmlformats.org/officeDocument/2006/relationships" name="3. PESTLE Assessment" sheetId="4" state="visible" r:id="rId4"/>
    <sheet xmlns:r="http://schemas.openxmlformats.org/officeDocument/2006/relationships" name="4. Internal Environment" sheetId="5" state="visible" r:id="rId5"/>
    <sheet xmlns:r="http://schemas.openxmlformats.org/officeDocument/2006/relationships" name="5. Risk Criteria" sheetId="6" state="visible" r:id="rId6"/>
    <sheet xmlns:r="http://schemas.openxmlformats.org/officeDocument/2006/relationships" name="6. Workshop Planner" sheetId="7" state="visible" r:id="rId7"/>
    <sheet xmlns:r="http://schemas.openxmlformats.org/officeDocument/2006/relationships" name="7. SWIFT Prompt Matrix" sheetId="8" state="visible" r:id="rId8"/>
    <sheet xmlns:r="http://schemas.openxmlformats.org/officeDocument/2006/relationships" name="8. Bottom-Up Template" sheetId="9" state="visible" r:id="rId9"/>
    <sheet xmlns:r="http://schemas.openxmlformats.org/officeDocument/2006/relationships" name="9. Pre-Workshop Assessment" sheetId="10" state="visible" r:id="rId10"/>
    <sheet xmlns:r="http://schemas.openxmlformats.org/officeDocument/2006/relationships" name="10. Gap Analysis" sheetId="11" state="visible" r:id="rId11"/>
    <sheet xmlns:r="http://schemas.openxmlformats.org/officeDocument/2006/relationships" name="11. Risk Scoring" sheetId="12" state="visible" r:id="rId12"/>
    <sheet xmlns:r="http://schemas.openxmlformats.org/officeDocument/2006/relationships" name="12. Interaction Matrix" sheetId="13" state="visible" r:id="rId13"/>
    <sheet xmlns:r="http://schemas.openxmlformats.org/officeDocument/2006/relationships" name="13. Bow-Tie Template" sheetId="14" state="visible" r:id="rId14"/>
    <sheet xmlns:r="http://schemas.openxmlformats.org/officeDocument/2006/relationships" name="14. Concentration Analysis" sheetId="15" state="visible" r:id="rId15"/>
    <sheet xmlns:r="http://schemas.openxmlformats.org/officeDocument/2006/relationships" name="15. Risk Inventory" sheetId="16" state="visible" r:id="rId16"/>
    <sheet xmlns:r="http://schemas.openxmlformats.org/officeDocument/2006/relationships" name="16. Risk Profile" sheetId="17" state="visible" r:id="rId17"/>
    <sheet xmlns:r="http://schemas.openxmlformats.org/officeDocument/2006/relationships" name="17. KRI Dashboard" sheetId="18" state="visible" r:id="rId18"/>
    <sheet xmlns:r="http://schemas.openxmlformats.org/officeDocument/2006/relationships" name="18. Principal Risk Report" sheetId="19" state="visible" r:id="rId19"/>
    <sheet xmlns:r="http://schemas.openxmlformats.org/officeDocument/2006/relationships" name="19. Stress Scenario Map" sheetId="20" state="visible" r:id="rId20"/>
    <sheet xmlns:r="http://schemas.openxmlformats.org/officeDocument/2006/relationships" name="20. Reg vs Econ Gap" sheetId="21" state="visible" r:id="rId21"/>
    <sheet xmlns:r="http://schemas.openxmlformats.org/officeDocument/2006/relationships" name="21. Emerging Risks" sheetId="22" state="visible" r:id="rId22"/>
    <sheet xmlns:r="http://schemas.openxmlformats.org/officeDocument/2006/relationships" name="22. Assumption Register" sheetId="23" state="visible" r:id="rId23"/>
    <sheet xmlns:r="http://schemas.openxmlformats.org/officeDocument/2006/relationships" name="23. Disagreement Log" sheetId="24" state="visible" r:id="rId24"/>
    <sheet xmlns:r="http://schemas.openxmlformats.org/officeDocument/2006/relationships" name="24. Event-Driven Triggers" sheetId="25" state="visible" r:id="rId25"/>
    <sheet xmlns:r="http://schemas.openxmlformats.org/officeDocument/2006/relationships" name="25. Process KPIs" sheetId="26" state="visible" r:id="rId26"/>
    <sheet xmlns:r="http://schemas.openxmlformats.org/officeDocument/2006/relationships" name="26. Training Programme" sheetId="27" state="visible" r:id="rId27"/>
    <sheet xmlns:r="http://schemas.openxmlformats.org/officeDocument/2006/relationships" name="27. Audit Programme" sheetId="28" state="visible" r:id="rId28"/>
    <sheet xmlns:r="http://schemas.openxmlformats.org/officeDocument/2006/relationships" name="28. Reg Traceability" sheetId="29" state="visible" r:id="rId29"/>
    <sheet xmlns:r="http://schemas.openxmlformats.org/officeDocument/2006/relationships" name="29. Lessons Learned" sheetId="30" state="visible" r:id="rId30"/>
    <sheet xmlns:r="http://schemas.openxmlformats.org/officeDocument/2006/relationships" name="30. Industry Loss DB" sheetId="31" state="visible" r:id="rId31"/>
  </sheets>
  <definedNames>
    <definedName name="_xlnm._FilterDatabase" localSheetId="30" hidden="1">'30. Industry Loss DB'!$A$5:$I$184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2A4A"/>
      <sz val="24"/>
    </font>
    <font>
      <name val="Arial"/>
      <color rgb="00C5A55A"/>
      <sz val="16"/>
    </font>
    <font>
      <name val="Arial"/>
      <color rgb="002A7F7F"/>
      <sz val="12"/>
    </font>
    <font>
      <name val="Arial"/>
      <i val="1"/>
      <color rgb="002A7F7F"/>
      <sz val="10"/>
    </font>
    <font>
      <name val="Arial"/>
      <color rgb="00333333"/>
      <sz val="10"/>
    </font>
    <font>
      <name val="Arial"/>
      <color rgb="001B2A4A"/>
      <sz val="10"/>
    </font>
    <font>
      <name val="Arial"/>
      <color rgb="00C5A55A"/>
      <sz val="10"/>
    </font>
    <font>
      <name val="Arial"/>
      <color rgb="002A7F7F"/>
      <sz val="10"/>
    </font>
    <font>
      <name val="Arial"/>
      <color rgb="00666666"/>
      <sz val="10"/>
    </font>
    <font>
      <name val="Arial"/>
      <color rgb="002D8B2D"/>
      <sz val="10"/>
    </font>
    <font>
      <name val="Arial"/>
      <b val="1"/>
      <color rgb="002A7F7F"/>
      <sz val="12"/>
    </font>
    <font>
      <name val="Arial"/>
      <b val="1"/>
      <color rgb="001B2A4A"/>
      <sz val="14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2A7F7F"/>
      <sz val="10"/>
    </font>
    <font>
      <name val="Arial"/>
      <b val="1"/>
      <color rgb="001B2A4A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5EDD8"/>
        <bgColor rgb="00F5EDD8"/>
      </patternFill>
    </fill>
    <fill>
      <patternFill patternType="solid">
        <fgColor rgb="00D4ECEC"/>
        <bgColor rgb="00D4ECEC"/>
      </patternFill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5" fillId="4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16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6" fillId="4" borderId="1" pivotButton="0" quotePrefix="0" xfId="0"/>
    <xf numFmtId="0" fontId="5" fillId="4" borderId="1" applyAlignment="1" pivotButton="0" quotePrefix="0" xfId="0">
      <alignment vertical="top" wrapText="1"/>
    </xf>
    <xf numFmtId="0" fontId="13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top" wrapText="1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1" t="inlineStr">
        <is>
          <t>Bank Risk Identification</t>
        </is>
      </c>
    </row>
    <row r="3">
      <c r="A3" s="2" t="inlineStr">
        <is>
          <t>The Complete Methodology — Template Pack</t>
        </is>
      </c>
    </row>
    <row r="5">
      <c r="A5" s="3" t="inlineStr">
        <is>
          <t>EON Risk Services Ltd</t>
        </is>
      </c>
    </row>
    <row r="6">
      <c r="A6" s="4" t="inlineStr">
        <is>
          <t>www.eonriskservices.com</t>
        </is>
      </c>
    </row>
    <row r="8">
      <c r="A8" s="5" t="inlineStr">
        <is>
          <t>This workbook contains structured templates for every phase of the risk identification methodology.</t>
        </is>
      </c>
    </row>
    <row r="9">
      <c r="A9" s="5" t="inlineStr">
        <is>
          <t>Each tab corresponds to a key artifact described in the book. Tabs are colour-coded by phase:</t>
        </is>
      </c>
    </row>
    <row r="11">
      <c r="A11" s="6" t="inlineStr">
        <is>
          <t>■ Navy tabs — Foundation (Phase 1)</t>
        </is>
      </c>
    </row>
    <row r="12">
      <c r="A12" s="7" t="inlineStr">
        <is>
          <t>■ Gold tabs — Identification (Phase 2)</t>
        </is>
      </c>
    </row>
    <row r="13">
      <c r="A13" s="8" t="inlineStr">
        <is>
          <t>■ Teal tabs — Reconciliation &amp; Assessment (Phase 3–4)</t>
        </is>
      </c>
    </row>
    <row r="14">
      <c r="A14" s="9" t="inlineStr">
        <is>
          <t>■ Grey tabs — Documentation &amp; Integration (Phase 5–6)</t>
        </is>
      </c>
    </row>
    <row r="15">
      <c r="A15" s="10" t="inlineStr">
        <is>
          <t>■ Green tabs — Ongoing Cycle &amp; Regulatory</t>
        </is>
      </c>
    </row>
    <row r="17">
      <c r="A17" s="11" t="inlineStr">
        <is>
          <t>INSTRUCTIONS</t>
        </is>
      </c>
    </row>
    <row r="19">
      <c r="A19" s="5" t="inlineStr">
        <is>
          <t>1. Each template is pre-structured with the fields described in the book.</t>
        </is>
      </c>
    </row>
    <row r="20">
      <c r="A20" s="5" t="inlineStr">
        <is>
          <t>2. Yellow-highlighted cells are for your input. Grey cells are reference/formula.</t>
        </is>
      </c>
    </row>
    <row r="21">
      <c r="A21" s="5" t="inlineStr">
        <is>
          <t>3. Dropdown validations are provided where the book specifies fixed options.</t>
        </is>
      </c>
    </row>
    <row r="22">
      <c r="A22" s="5" t="inlineStr">
        <is>
          <t>4. Adapt column widths and add rows as needed for your institution.</t>
        </is>
      </c>
    </row>
    <row r="23">
      <c r="A23" s="5" t="inlineStr">
        <is>
          <t>5. The Risk Inventory (Tab 15) is the master sheet — other tabs feed into it.</t>
        </is>
      </c>
    </row>
    <row r="24">
      <c r="A24" s="5" t="inlineStr">
        <is>
          <t>6. Tab 30 (Industry Loss Database) contains 179 historical bank failures — use it for taxonomy testing and calibration.</t>
        </is>
      </c>
    </row>
    <row r="25">
      <c r="A25" s="5" t="inlineStr">
        <is>
          <t>7. See the book chapter references on each tab for methodology context.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35" customWidth="1" min="4" max="4"/>
    <col width="45" customWidth="1" min="5" max="5"/>
    <col width="20" customWidth="1" min="6" max="6"/>
    <col width="25" customWidth="1" min="7" max="7"/>
  </cols>
  <sheetData>
    <row r="1">
      <c r="A1" s="12" t="inlineStr">
        <is>
          <t>Risk Taxonomy (L1 / L2 / L3)</t>
        </is>
      </c>
    </row>
    <row r="2">
      <c r="A2" s="13" t="inlineStr">
        <is>
          <t>Book Reference: Chapter 4 — The Risk Taxonomy</t>
        </is>
      </c>
    </row>
    <row r="3">
      <c r="A3" s="14" t="inlineStr">
        <is>
          <t>Define your institution's three-level risk classification. Populate L1 categories first, then L2 sub-categories, then L3 granular risks.</t>
        </is>
      </c>
    </row>
    <row r="5">
      <c r="A5" s="15" t="inlineStr">
        <is>
          <t>#</t>
        </is>
      </c>
      <c r="B5" s="15" t="inlineStr">
        <is>
          <t>L1 Category</t>
        </is>
      </c>
      <c r="C5" s="15" t="inlineStr">
        <is>
          <t>L2 Sub-Category</t>
        </is>
      </c>
      <c r="D5" s="15" t="inlineStr">
        <is>
          <t>L3 Granular Risk</t>
        </is>
      </c>
      <c r="E5" s="15" t="inlineStr">
        <is>
          <t>Definition</t>
        </is>
      </c>
      <c r="F5" s="15" t="inlineStr">
        <is>
          <t>COSO Objective</t>
        </is>
      </c>
      <c r="G5" s="15" t="inlineStr">
        <is>
          <t>Regulatory Mapping</t>
        </is>
      </c>
    </row>
    <row r="6">
      <c r="A6" s="16" t="n">
        <v>1</v>
      </c>
      <c r="B6" s="17" t="inlineStr">
        <is>
          <t>Credit Risk</t>
        </is>
      </c>
      <c r="C6" s="17" t="inlineStr">
        <is>
          <t>Counterparty Credit Risk</t>
        </is>
      </c>
      <c r="D6" s="17" t="inlineStr">
        <is>
          <t>Single-Name Concentration</t>
        </is>
      </c>
      <c r="E6" s="17" t="inlineStr">
        <is>
          <t>Risk of loss from excessive exposure to a single counterparty</t>
        </is>
      </c>
      <c r="F6" s="16" t="inlineStr">
        <is>
          <t>Operations</t>
        </is>
      </c>
      <c r="G6" s="16" t="inlineStr">
        <is>
          <t>CRR Art. 395-403</t>
        </is>
      </c>
    </row>
    <row r="7">
      <c r="A7" s="16" t="n">
        <v>2</v>
      </c>
      <c r="B7" s="17" t="inlineStr">
        <is>
          <t>Credit Risk</t>
        </is>
      </c>
      <c r="C7" s="17" t="inlineStr">
        <is>
          <t>Counterparty Credit Risk</t>
        </is>
      </c>
      <c r="D7" s="17" t="inlineStr">
        <is>
          <t>Wrong-Way Risk</t>
        </is>
      </c>
      <c r="E7" s="17" t="inlineStr">
        <is>
          <t>Risk that exposure increases when counterparty credit quality deteriorates</t>
        </is>
      </c>
      <c r="F7" s="16" t="inlineStr">
        <is>
          <t>Operations</t>
        </is>
      </c>
      <c r="G7" s="16" t="inlineStr">
        <is>
          <t>CRR Art. 291</t>
        </is>
      </c>
    </row>
    <row r="8">
      <c r="A8" s="16" t="n">
        <v>3</v>
      </c>
      <c r="B8" s="17" t="inlineStr">
        <is>
          <t>Credit Risk</t>
        </is>
      </c>
      <c r="C8" s="17" t="inlineStr">
        <is>
          <t>Country/Transfer Risk</t>
        </is>
      </c>
      <c r="D8" s="17" t="inlineStr">
        <is>
          <t>Sovereign Default</t>
        </is>
      </c>
      <c r="E8" s="17" t="inlineStr">
        <is>
          <t>Risk of loss from sovereign inability or unwillingness to honour obligations</t>
        </is>
      </c>
      <c r="F8" s="16" t="inlineStr">
        <is>
          <t>Strategic</t>
        </is>
      </c>
      <c r="G8" s="16" t="inlineStr">
        <is>
          <t>EBA GL/2017/16</t>
        </is>
      </c>
    </row>
    <row r="9">
      <c r="A9" s="16" t="n">
        <v>4</v>
      </c>
      <c r="B9" s="17" t="inlineStr">
        <is>
          <t>Market Risk</t>
        </is>
      </c>
      <c r="C9" s="17" t="inlineStr">
        <is>
          <t>Interest Rate Risk</t>
        </is>
      </c>
      <c r="D9" s="17" t="inlineStr">
        <is>
          <t>Yield Curve Risk</t>
        </is>
      </c>
      <c r="E9" s="17" t="inlineStr">
        <is>
          <t>Risk of loss from non-parallel shifts in the yield curve</t>
        </is>
      </c>
      <c r="F9" s="16" t="inlineStr">
        <is>
          <t>Operations</t>
        </is>
      </c>
      <c r="G9" s="16" t="inlineStr">
        <is>
          <t>CRR Art. 325-377</t>
        </is>
      </c>
    </row>
    <row r="10">
      <c r="A10" s="16" t="n">
        <v>5</v>
      </c>
      <c r="B10" s="17" t="inlineStr">
        <is>
          <t>Market Risk</t>
        </is>
      </c>
      <c r="C10" s="17" t="inlineStr">
        <is>
          <t>FX Risk</t>
        </is>
      </c>
      <c r="D10" s="17" t="inlineStr">
        <is>
          <t>Translation Risk</t>
        </is>
      </c>
      <c r="E10" s="17" t="inlineStr">
        <is>
          <t>Risk of loss from converting foreign currency positions</t>
        </is>
      </c>
      <c r="F10" s="16" t="inlineStr">
        <is>
          <t>Reporting</t>
        </is>
      </c>
      <c r="G10" s="16" t="inlineStr">
        <is>
          <t>IAS 21</t>
        </is>
      </c>
    </row>
    <row r="11">
      <c r="A11" s="16" t="n">
        <v>6</v>
      </c>
      <c r="B11" s="17" t="inlineStr">
        <is>
          <t>Operational Risk</t>
        </is>
      </c>
      <c r="C11" s="17" t="inlineStr">
        <is>
          <t>People Risk</t>
        </is>
      </c>
      <c r="D11" s="17" t="inlineStr">
        <is>
          <t>Key Person Dependency</t>
        </is>
      </c>
      <c r="E11" s="17" t="inlineStr">
        <is>
          <t>Risk of loss from over-reliance on individuals with critical knowledge</t>
        </is>
      </c>
      <c r="F11" s="16" t="inlineStr">
        <is>
          <t>Operations</t>
        </is>
      </c>
      <c r="G11" s="16" t="inlineStr">
        <is>
          <t>BCBS Principles</t>
        </is>
      </c>
    </row>
    <row r="12">
      <c r="A12" s="16" t="n">
        <v>7</v>
      </c>
      <c r="B12" s="17" t="inlineStr">
        <is>
          <t>Operational Risk</t>
        </is>
      </c>
      <c r="C12" s="17" t="inlineStr">
        <is>
          <t>Technology Risk</t>
        </is>
      </c>
      <c r="D12" s="17" t="inlineStr">
        <is>
          <t>Cyber Attack</t>
        </is>
      </c>
      <c r="E12" s="17" t="inlineStr">
        <is>
          <t>Risk of loss from malicious intrusion into technology systems</t>
        </is>
      </c>
      <c r="F12" s="16" t="inlineStr">
        <is>
          <t>Operations</t>
        </is>
      </c>
      <c r="G12" s="16" t="inlineStr">
        <is>
          <t>DORA Art. 5-16</t>
        </is>
      </c>
    </row>
    <row r="13">
      <c r="A13" s="16" t="n">
        <v>8</v>
      </c>
      <c r="B13" s="17" t="inlineStr">
        <is>
          <t>Liquidity Risk</t>
        </is>
      </c>
      <c r="C13" s="17" t="inlineStr">
        <is>
          <t>Funding Risk</t>
        </is>
      </c>
      <c r="D13" s="17" t="inlineStr">
        <is>
          <t>Wholesale Funding Concentration</t>
        </is>
      </c>
      <c r="E13" s="17" t="inlineStr">
        <is>
          <t>Risk of loss from over-reliance on short-term wholesale funding</t>
        </is>
      </c>
      <c r="F13" s="16" t="inlineStr">
        <is>
          <t>Strategic</t>
        </is>
      </c>
      <c r="G13" s="16" t="inlineStr">
        <is>
          <t>CRR Art. 411-428</t>
        </is>
      </c>
    </row>
    <row r="14">
      <c r="A14" s="16" t="inlineStr"/>
      <c r="B14" s="17" t="inlineStr"/>
      <c r="C14" s="17" t="inlineStr"/>
      <c r="D14" s="17" t="inlineStr"/>
      <c r="E14" s="17" t="inlineStr"/>
      <c r="F14" s="16" t="inlineStr"/>
      <c r="G14" s="16" t="inlineStr"/>
    </row>
    <row r="15">
      <c r="A15" s="16" t="inlineStr"/>
      <c r="B15" s="17" t="inlineStr"/>
      <c r="C15" s="17" t="inlineStr"/>
      <c r="D15" s="17" t="inlineStr"/>
      <c r="E15" s="17" t="inlineStr"/>
      <c r="F15" s="16" t="inlineStr"/>
      <c r="G15" s="16" t="inlineStr"/>
    </row>
  </sheetData>
  <dataValidations count="1">
    <dataValidation sqref="F6:F200" showDropDown="0" showInputMessage="0" showErrorMessage="0" allowBlank="1" error="Select from: Strategic, Operations, Reporting, Compliance" type="list">
      <formula1>"Strategic,Operations,Reporting,Compliance"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Regulatory Mapping Table</t>
        </is>
      </c>
    </row>
    <row r="2">
      <c r="A2" s="13" t="inlineStr">
        <is>
          <t>Book Reference: Chapter 4, 15 — Maps taxonomy to each regulator's categories</t>
        </is>
      </c>
    </row>
    <row r="3">
      <c r="A3" s="14" t="inlineStr">
        <is>
          <t>For each L1/L2 taxonomy node, record the corresponding category used by each applicable regulator.</t>
        </is>
      </c>
    </row>
    <row r="5">
      <c r="A5" s="15" t="inlineStr">
        <is>
          <t>L1 Category</t>
        </is>
      </c>
      <c r="B5" s="15" t="inlineStr">
        <is>
          <t>L2 Sub-Category</t>
        </is>
      </c>
      <c r="C5" s="15" t="inlineStr">
        <is>
          <t>PRA (UK)</t>
        </is>
      </c>
      <c r="D5" s="15" t="inlineStr">
        <is>
          <t>Fed / OCC (US)</t>
        </is>
      </c>
      <c r="E5" s="15" t="inlineStr">
        <is>
          <t>ECB / SSM (EU)</t>
        </is>
      </c>
      <c r="F5" s="15" t="inlineStr">
        <is>
          <t>FINMA (CH)</t>
        </is>
      </c>
      <c r="G5" s="15" t="inlineStr">
        <is>
          <t>APRA (AU)</t>
        </is>
      </c>
      <c r="H5" s="15" t="inlineStr">
        <is>
          <t>Notes</t>
        </is>
      </c>
    </row>
    <row r="6">
      <c r="A6" s="16" t="inlineStr">
        <is>
          <t>Credit Risk</t>
        </is>
      </c>
      <c r="B6" s="16" t="inlineStr">
        <is>
          <t>Counterparty Credit Risk</t>
        </is>
      </c>
      <c r="C6" s="17" t="inlineStr">
        <is>
          <t>Credit Risk</t>
        </is>
      </c>
      <c r="D6" s="17" t="inlineStr">
        <is>
          <t>Credit Risk</t>
        </is>
      </c>
      <c r="E6" s="17" t="inlineStr">
        <is>
          <t>Credit Risk</t>
        </is>
      </c>
      <c r="F6" s="17" t="inlineStr">
        <is>
          <t>Kreditrisiko</t>
        </is>
      </c>
      <c r="G6" s="17" t="inlineStr">
        <is>
          <t>Credit Risk</t>
        </is>
      </c>
      <c r="H6" s="16" t="inlineStr"/>
    </row>
    <row r="7">
      <c r="A7" s="16" t="inlineStr">
        <is>
          <t>Market Risk</t>
        </is>
      </c>
      <c r="B7" s="16" t="inlineStr">
        <is>
          <t>Interest Rate Risk</t>
        </is>
      </c>
      <c r="C7" s="17" t="inlineStr">
        <is>
          <t>Market Risk</t>
        </is>
      </c>
      <c r="D7" s="17" t="inlineStr">
        <is>
          <t>Market Risk</t>
        </is>
      </c>
      <c r="E7" s="17" t="inlineStr">
        <is>
          <t>Market Risk</t>
        </is>
      </c>
      <c r="F7" s="17" t="inlineStr">
        <is>
          <t>Marktrisiko</t>
        </is>
      </c>
      <c r="G7" s="17" t="inlineStr">
        <is>
          <t>Market Risk</t>
        </is>
      </c>
      <c r="H7" s="16" t="inlineStr"/>
    </row>
    <row r="8">
      <c r="A8" s="16" t="inlineStr">
        <is>
          <t>Operational Risk</t>
        </is>
      </c>
      <c r="B8" s="16" t="inlineStr">
        <is>
          <t>Technology Risk</t>
        </is>
      </c>
      <c r="C8" s="17" t="inlineStr">
        <is>
          <t>Operational Risk</t>
        </is>
      </c>
      <c r="D8" s="17" t="inlineStr">
        <is>
          <t>Operational Risk</t>
        </is>
      </c>
      <c r="E8" s="17" t="inlineStr">
        <is>
          <t>Operational Risk</t>
        </is>
      </c>
      <c r="F8" s="17" t="inlineStr">
        <is>
          <t>Operationelles Risiko</t>
        </is>
      </c>
      <c r="G8" s="17" t="inlineStr">
        <is>
          <t>Operational Risk</t>
        </is>
      </c>
      <c r="H8" s="16" t="inlineStr">
        <is>
          <t>DORA applies for EU</t>
        </is>
      </c>
    </row>
    <row r="9">
      <c r="A9" s="16" t="inlineStr"/>
      <c r="B9" s="16" t="inlineStr"/>
      <c r="C9" s="17" t="inlineStr"/>
      <c r="D9" s="17" t="inlineStr"/>
      <c r="E9" s="17" t="inlineStr"/>
      <c r="F9" s="17" t="inlineStr"/>
      <c r="G9" s="17" t="inlineStr"/>
      <c r="H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  <col width="20" customWidth="1" min="4" max="4"/>
    <col width="15" customWidth="1" min="5" max="5"/>
    <col width="30" customWidth="1" min="6" max="6"/>
  </cols>
  <sheetData>
    <row r="1">
      <c r="A1" s="12" t="inlineStr">
        <is>
          <t>PESTLE Assessment</t>
        </is>
      </c>
    </row>
    <row r="2">
      <c r="A2" s="13" t="inlineStr">
        <is>
          <t>Book Reference: Chapter 5 — Setting the Context</t>
        </is>
      </c>
    </row>
    <row r="3">
      <c r="A3" s="14" t="inlineStr">
        <is>
          <t>Assess external environment factors. Map each finding to taxonomy categories. Score significance (1-5). Update quarterly.</t>
        </is>
      </c>
    </row>
    <row r="5">
      <c r="A5" s="15" t="inlineStr">
        <is>
          <t>PESTLE Dimension</t>
        </is>
      </c>
      <c r="B5" s="15" t="inlineStr">
        <is>
          <t>Key Finding / Observation</t>
        </is>
      </c>
      <c r="C5" s="15" t="inlineStr">
        <is>
          <t>Taxonomy Categories Affected</t>
        </is>
      </c>
      <c r="D5" s="15" t="inlineStr">
        <is>
          <t>Significance (1-5)</t>
        </is>
      </c>
      <c r="E5" s="15" t="inlineStr">
        <is>
          <t>Trend</t>
        </is>
      </c>
      <c r="F5" s="15" t="inlineStr">
        <is>
          <t>Source / Evidence</t>
        </is>
      </c>
    </row>
    <row r="6">
      <c r="A6" s="18" t="inlineStr">
        <is>
          <t>POLITICAL</t>
        </is>
      </c>
      <c r="B6" s="19" t="n"/>
      <c r="C6" s="19" t="n"/>
      <c r="D6" s="19" t="n"/>
      <c r="E6" s="19" t="n"/>
      <c r="F6" s="19" t="n"/>
    </row>
    <row r="7">
      <c r="A7" s="16" t="inlineStr"/>
      <c r="B7" s="16" t="inlineStr">
        <is>
          <t>Government stability and policy direction</t>
        </is>
      </c>
      <c r="C7" s="17" t="inlineStr"/>
      <c r="D7" s="17" t="inlineStr"/>
      <c r="E7" s="17" t="inlineStr"/>
      <c r="F7" s="17" t="inlineStr"/>
    </row>
    <row r="8">
      <c r="A8" s="16" t="inlineStr"/>
      <c r="B8" s="16" t="inlineStr">
        <is>
          <t>Trade policy / sanctions regime</t>
        </is>
      </c>
      <c r="C8" s="17" t="inlineStr"/>
      <c r="D8" s="17" t="inlineStr"/>
      <c r="E8" s="17" t="inlineStr"/>
      <c r="F8" s="17" t="inlineStr"/>
    </row>
    <row r="9">
      <c r="A9" s="16" t="inlineStr"/>
      <c r="B9" s="16" t="inlineStr">
        <is>
          <t>Regulatory reform agenda</t>
        </is>
      </c>
      <c r="C9" s="17" t="inlineStr"/>
      <c r="D9" s="17" t="inlineStr"/>
      <c r="E9" s="17" t="inlineStr"/>
      <c r="F9" s="17" t="inlineStr"/>
    </row>
    <row r="10">
      <c r="A10" s="16" t="inlineStr"/>
      <c r="B10" s="16" t="inlineStr"/>
      <c r="C10" s="17" t="inlineStr"/>
      <c r="D10" s="17" t="inlineStr"/>
      <c r="E10" s="17" t="inlineStr"/>
      <c r="F10" s="17" t="inlineStr"/>
    </row>
    <row r="11">
      <c r="A11" s="18" t="inlineStr">
        <is>
          <t>ECONOMIC</t>
        </is>
      </c>
      <c r="B11" s="19" t="n"/>
      <c r="C11" s="19" t="n"/>
      <c r="D11" s="19" t="n"/>
      <c r="E11" s="19" t="n"/>
      <c r="F11" s="19" t="n"/>
    </row>
    <row r="12">
      <c r="A12" s="16" t="inlineStr"/>
      <c r="B12" s="16" t="inlineStr">
        <is>
          <t>Interest rate environment and trajectory</t>
        </is>
      </c>
      <c r="C12" s="17" t="inlineStr"/>
      <c r="D12" s="17" t="inlineStr"/>
      <c r="E12" s="17" t="inlineStr"/>
      <c r="F12" s="17" t="inlineStr"/>
    </row>
    <row r="13">
      <c r="A13" s="16" t="inlineStr"/>
      <c r="B13" s="16" t="inlineStr">
        <is>
          <t>Credit cycle position</t>
        </is>
      </c>
      <c r="C13" s="17" t="inlineStr"/>
      <c r="D13" s="17" t="inlineStr"/>
      <c r="E13" s="17" t="inlineStr"/>
      <c r="F13" s="17" t="inlineStr"/>
    </row>
    <row r="14">
      <c r="A14" s="16" t="inlineStr"/>
      <c r="B14" s="16" t="inlineStr">
        <is>
          <t>Inflation / deflation pressures</t>
        </is>
      </c>
      <c r="C14" s="17" t="inlineStr"/>
      <c r="D14" s="17" t="inlineStr"/>
      <c r="E14" s="17" t="inlineStr"/>
      <c r="F14" s="17" t="inlineStr"/>
    </row>
    <row r="15">
      <c r="A15" s="16" t="inlineStr"/>
      <c r="B15" s="16" t="inlineStr">
        <is>
          <t>FX volatility and currency regime</t>
        </is>
      </c>
      <c r="C15" s="17" t="inlineStr"/>
      <c r="D15" s="17" t="inlineStr"/>
      <c r="E15" s="17" t="inlineStr"/>
      <c r="F15" s="17" t="inlineStr"/>
    </row>
    <row r="16">
      <c r="A16" s="16" t="inlineStr"/>
      <c r="B16" s="16" t="inlineStr"/>
      <c r="C16" s="17" t="inlineStr"/>
      <c r="D16" s="17" t="inlineStr"/>
      <c r="E16" s="17" t="inlineStr"/>
      <c r="F16" s="17" t="inlineStr"/>
    </row>
    <row r="17">
      <c r="A17" s="18" t="inlineStr">
        <is>
          <t>SOCIAL</t>
        </is>
      </c>
      <c r="B17" s="19" t="n"/>
      <c r="C17" s="19" t="n"/>
      <c r="D17" s="19" t="n"/>
      <c r="E17" s="19" t="n"/>
      <c r="F17" s="19" t="n"/>
    </row>
    <row r="18">
      <c r="A18" s="16" t="inlineStr"/>
      <c r="B18" s="16" t="inlineStr">
        <is>
          <t>Demographic shifts affecting customer base</t>
        </is>
      </c>
      <c r="C18" s="17" t="inlineStr"/>
      <c r="D18" s="17" t="inlineStr"/>
      <c r="E18" s="17" t="inlineStr"/>
      <c r="F18" s="17" t="inlineStr"/>
    </row>
    <row r="19">
      <c r="A19" s="16" t="inlineStr"/>
      <c r="B19" s="16" t="inlineStr">
        <is>
          <t>Public trust in financial institutions</t>
        </is>
      </c>
      <c r="C19" s="17" t="inlineStr"/>
      <c r="D19" s="17" t="inlineStr"/>
      <c r="E19" s="17" t="inlineStr"/>
      <c r="F19" s="17" t="inlineStr"/>
    </row>
    <row r="20">
      <c r="A20" s="16" t="inlineStr"/>
      <c r="B20" s="16" t="inlineStr">
        <is>
          <t>Workforce availability and skills</t>
        </is>
      </c>
      <c r="C20" s="17" t="inlineStr"/>
      <c r="D20" s="17" t="inlineStr"/>
      <c r="E20" s="17" t="inlineStr"/>
      <c r="F20" s="17" t="inlineStr"/>
    </row>
    <row r="21">
      <c r="A21" s="16" t="inlineStr"/>
      <c r="B21" s="16" t="inlineStr"/>
      <c r="C21" s="17" t="inlineStr"/>
      <c r="D21" s="17" t="inlineStr"/>
      <c r="E21" s="17" t="inlineStr"/>
      <c r="F21" s="17" t="inlineStr"/>
    </row>
    <row r="22">
      <c r="A22" s="18" t="inlineStr">
        <is>
          <t>TECHNOLOGICAL</t>
        </is>
      </c>
      <c r="B22" s="19" t="n"/>
      <c r="C22" s="19" t="n"/>
      <c r="D22" s="19" t="n"/>
      <c r="E22" s="19" t="n"/>
      <c r="F22" s="19" t="n"/>
    </row>
    <row r="23">
      <c r="A23" s="16" t="inlineStr"/>
      <c r="B23" s="16" t="inlineStr">
        <is>
          <t>Fintech disruption to business model</t>
        </is>
      </c>
      <c r="C23" s="17" t="inlineStr"/>
      <c r="D23" s="17" t="inlineStr"/>
      <c r="E23" s="17" t="inlineStr"/>
      <c r="F23" s="17" t="inlineStr"/>
    </row>
    <row r="24">
      <c r="A24" s="16" t="inlineStr"/>
      <c r="B24" s="16" t="inlineStr">
        <is>
          <t>Cyber threat landscape evolution</t>
        </is>
      </c>
      <c r="C24" s="17" t="inlineStr"/>
      <c r="D24" s="17" t="inlineStr"/>
      <c r="E24" s="17" t="inlineStr"/>
      <c r="F24" s="17" t="inlineStr"/>
    </row>
    <row r="25">
      <c r="A25" s="16" t="inlineStr"/>
      <c r="B25" s="16" t="inlineStr">
        <is>
          <t>AI/ML adoption in risk management</t>
        </is>
      </c>
      <c r="C25" s="17" t="inlineStr"/>
      <c r="D25" s="17" t="inlineStr"/>
      <c r="E25" s="17" t="inlineStr"/>
      <c r="F25" s="17" t="inlineStr"/>
    </row>
    <row r="26">
      <c r="A26" s="16" t="inlineStr"/>
      <c r="B26" s="16" t="inlineStr"/>
      <c r="C26" s="17" t="inlineStr"/>
      <c r="D26" s="17" t="inlineStr"/>
      <c r="E26" s="17" t="inlineStr"/>
      <c r="F26" s="17" t="inlineStr"/>
    </row>
    <row r="27">
      <c r="A27" s="18" t="inlineStr">
        <is>
          <t>LEGAL</t>
        </is>
      </c>
      <c r="B27" s="19" t="n"/>
      <c r="C27" s="19" t="n"/>
      <c r="D27" s="19" t="n"/>
      <c r="E27" s="19" t="n"/>
      <c r="F27" s="19" t="n"/>
    </row>
    <row r="28">
      <c r="A28" s="16" t="inlineStr"/>
      <c r="B28" s="16" t="inlineStr">
        <is>
          <t>Pending litigation exposure</t>
        </is>
      </c>
      <c r="C28" s="17" t="inlineStr"/>
      <c r="D28" s="17" t="inlineStr"/>
      <c r="E28" s="17" t="inlineStr"/>
      <c r="F28" s="17" t="inlineStr"/>
    </row>
    <row r="29">
      <c r="A29" s="16" t="inlineStr"/>
      <c r="B29" s="16" t="inlineStr">
        <is>
          <t>Regulatory enforcement trends</t>
        </is>
      </c>
      <c r="C29" s="17" t="inlineStr"/>
      <c r="D29" s="17" t="inlineStr"/>
      <c r="E29" s="17" t="inlineStr"/>
      <c r="F29" s="17" t="inlineStr"/>
    </row>
    <row r="30">
      <c r="A30" s="16" t="inlineStr"/>
      <c r="B30" s="16" t="inlineStr">
        <is>
          <t>Data protection / privacy requirements</t>
        </is>
      </c>
      <c r="C30" s="17" t="inlineStr"/>
      <c r="D30" s="17" t="inlineStr"/>
      <c r="E30" s="17" t="inlineStr"/>
      <c r="F30" s="17" t="inlineStr"/>
    </row>
    <row r="31">
      <c r="A31" s="16" t="inlineStr"/>
      <c r="B31" s="16" t="inlineStr"/>
      <c r="C31" s="17" t="inlineStr"/>
      <c r="D31" s="17" t="inlineStr"/>
      <c r="E31" s="17" t="inlineStr"/>
      <c r="F31" s="17" t="inlineStr"/>
    </row>
    <row r="32">
      <c r="A32" s="18" t="inlineStr">
        <is>
          <t>ENVIRONMENTAL</t>
        </is>
      </c>
      <c r="B32" s="19" t="n"/>
      <c r="C32" s="19" t="n"/>
      <c r="D32" s="19" t="n"/>
      <c r="E32" s="19" t="n"/>
      <c r="F32" s="19" t="n"/>
    </row>
    <row r="33">
      <c r="A33" s="16" t="inlineStr"/>
      <c r="B33" s="16" t="inlineStr">
        <is>
          <t>Physical climate risk to operations</t>
        </is>
      </c>
      <c r="C33" s="17" t="inlineStr"/>
      <c r="D33" s="17" t="inlineStr"/>
      <c r="E33" s="17" t="inlineStr"/>
      <c r="F33" s="17" t="inlineStr"/>
    </row>
    <row r="34">
      <c r="A34" s="16" t="inlineStr"/>
      <c r="B34" s="16" t="inlineStr">
        <is>
          <t>Transition risk to loan portfolio</t>
        </is>
      </c>
      <c r="C34" s="17" t="inlineStr"/>
      <c r="D34" s="17" t="inlineStr"/>
      <c r="E34" s="17" t="inlineStr"/>
      <c r="F34" s="17" t="inlineStr"/>
    </row>
    <row r="35">
      <c r="A35" s="16" t="inlineStr"/>
      <c r="B35" s="16" t="inlineStr">
        <is>
          <t>ESG regulatory requirements</t>
        </is>
      </c>
      <c r="C35" s="17" t="inlineStr"/>
      <c r="D35" s="17" t="inlineStr"/>
      <c r="E35" s="17" t="inlineStr"/>
      <c r="F35" s="17" t="inlineStr"/>
    </row>
    <row r="36">
      <c r="A36" s="16" t="inlineStr"/>
      <c r="B36" s="16" t="inlineStr"/>
      <c r="C36" s="17" t="inlineStr"/>
      <c r="D36" s="17" t="inlineStr"/>
      <c r="E36" s="17" t="inlineStr"/>
      <c r="F36" s="17" t="inlineStr"/>
    </row>
  </sheetData>
  <dataValidations count="2">
    <dataValidation sqref="D6:D100" showDropDown="0" showInputMessage="0" showErrorMessage="0" allowBlank="1" type="list">
      <formula1>"1,2,3,4,5"</formula1>
    </dataValidation>
    <dataValidation sqref="E6:E100" showDropDown="0" showInputMessage="0" showErrorMessage="0" allowBlank="1" type="list">
      <formula1>"Increasing,Stable,Decreasing,New"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15" customWidth="1" min="4" max="4"/>
    <col width="35" customWidth="1" min="5" max="5"/>
  </cols>
  <sheetData>
    <row r="1">
      <c r="A1" s="12" t="inlineStr">
        <is>
          <t>Internal Environment Assessment (Seven COSO Elements)</t>
        </is>
      </c>
    </row>
    <row r="2">
      <c r="A2" s="13" t="inlineStr">
        <is>
          <t>Book Reference: Chapter 5 — Setting the Context</t>
        </is>
      </c>
    </row>
    <row r="3">
      <c r="A3" s="14" t="inlineStr">
        <is>
          <t>Assess each of the seven COSO ERM internal environment elements. This is a qualitative assessment informing risk identification.</t>
        </is>
      </c>
    </row>
    <row r="5">
      <c r="A5" s="15" t="inlineStr">
        <is>
          <t>COSO Element</t>
        </is>
      </c>
      <c r="B5" s="15" t="inlineStr">
        <is>
          <t>Assessment Question</t>
        </is>
      </c>
      <c r="C5" s="15" t="inlineStr">
        <is>
          <t>Finding / Evidence</t>
        </is>
      </c>
      <c r="D5" s="15" t="inlineStr">
        <is>
          <t>Rating</t>
        </is>
      </c>
      <c r="E5" s="15" t="inlineStr">
        <is>
          <t>Risks Implicated</t>
        </is>
      </c>
    </row>
    <row r="6">
      <c r="A6" s="16" t="inlineStr">
        <is>
          <t>1. Risk Management Philosophy</t>
        </is>
      </c>
      <c r="B6" s="16" t="inlineStr">
        <is>
          <t>How does senior management communicate risk appetite and tolerance?</t>
        </is>
      </c>
      <c r="C6" s="17" t="inlineStr"/>
      <c r="D6" s="17" t="inlineStr"/>
      <c r="E6" s="17" t="inlineStr"/>
    </row>
    <row r="7">
      <c r="A7" s="16" t="inlineStr">
        <is>
          <t>1. Risk Management Philosophy</t>
        </is>
      </c>
      <c r="B7" s="16" t="inlineStr">
        <is>
          <t>Is risk-taking rewarded or penalised in practice?</t>
        </is>
      </c>
      <c r="C7" s="17" t="inlineStr"/>
      <c r="D7" s="17" t="inlineStr"/>
      <c r="E7" s="17" t="inlineStr"/>
    </row>
    <row r="8">
      <c r="A8" s="16" t="inlineStr">
        <is>
          <t>2. Board Risk Oversight</t>
        </is>
      </c>
      <c r="B8" s="16" t="inlineStr">
        <is>
          <t>Does the Board actively challenge risk assessments or rubber-stamp them?</t>
        </is>
      </c>
      <c r="C8" s="17" t="inlineStr"/>
      <c r="D8" s="17" t="inlineStr"/>
      <c r="E8" s="17" t="inlineStr"/>
    </row>
    <row r="9">
      <c r="A9" s="16" t="inlineStr">
        <is>
          <t>2. Board Risk Oversight</t>
        </is>
      </c>
      <c r="B9" s="16" t="inlineStr">
        <is>
          <t>Does the Board have independent risk expertise?</t>
        </is>
      </c>
      <c r="C9" s="17" t="inlineStr"/>
      <c r="D9" s="17" t="inlineStr"/>
      <c r="E9" s="17" t="inlineStr"/>
    </row>
    <row r="10">
      <c r="A10" s="16" t="inlineStr">
        <is>
          <t>3. Integrity and Ethical Values</t>
        </is>
      </c>
      <c r="B10" s="16" t="inlineStr">
        <is>
          <t>Have there been conduct failures in the past 3 years?</t>
        </is>
      </c>
      <c r="C10" s="17" t="inlineStr"/>
      <c r="D10" s="17" t="inlineStr"/>
      <c r="E10" s="17" t="inlineStr"/>
    </row>
    <row r="11">
      <c r="A11" s="16" t="inlineStr">
        <is>
          <t>3. Integrity and Ethical Values</t>
        </is>
      </c>
      <c r="B11" s="16" t="inlineStr">
        <is>
          <t>Is whistleblowing actively encouraged and protected?</t>
        </is>
      </c>
      <c r="C11" s="17" t="inlineStr"/>
      <c r="D11" s="17" t="inlineStr"/>
      <c r="E11" s="17" t="inlineStr"/>
    </row>
    <row r="12">
      <c r="A12" s="16" t="inlineStr">
        <is>
          <t>4. Commitment to Competence</t>
        </is>
      </c>
      <c r="B12" s="16" t="inlineStr">
        <is>
          <t>Are risk management roles staffed with qualified professionals?</t>
        </is>
      </c>
      <c r="C12" s="17" t="inlineStr"/>
      <c r="D12" s="17" t="inlineStr"/>
      <c r="E12" s="17" t="inlineStr"/>
    </row>
    <row r="13">
      <c r="A13" s="16" t="inlineStr">
        <is>
          <t>4. Commitment to Competence</t>
        </is>
      </c>
      <c r="B13" s="16" t="inlineStr">
        <is>
          <t>Is there adequate training for risk identification?</t>
        </is>
      </c>
      <c r="C13" s="17" t="inlineStr"/>
      <c r="D13" s="17" t="inlineStr"/>
      <c r="E13" s="17" t="inlineStr"/>
    </row>
    <row r="14">
      <c r="A14" s="16" t="inlineStr">
        <is>
          <t>5. Organisational Structure</t>
        </is>
      </c>
      <c r="B14" s="16" t="inlineStr">
        <is>
          <t>Are risk functions independent of revenue-generating functions?</t>
        </is>
      </c>
      <c r="C14" s="17" t="inlineStr"/>
      <c r="D14" s="17" t="inlineStr"/>
      <c r="E14" s="17" t="inlineStr"/>
    </row>
    <row r="15">
      <c r="A15" s="16" t="inlineStr">
        <is>
          <t>5. Organisational Structure</t>
        </is>
      </c>
      <c r="B15" s="16" t="inlineStr">
        <is>
          <t>Does the CRO have direct Board access?</t>
        </is>
      </c>
      <c r="C15" s="17" t="inlineStr"/>
      <c r="D15" s="17" t="inlineStr"/>
      <c r="E15" s="17" t="inlineStr"/>
    </row>
    <row r="16">
      <c r="A16" s="16" t="inlineStr">
        <is>
          <t>6. Assignment of Authority</t>
        </is>
      </c>
      <c r="B16" s="16" t="inlineStr">
        <is>
          <t>Are risk owners clearly defined for all material risks?</t>
        </is>
      </c>
      <c r="C16" s="17" t="inlineStr"/>
      <c r="D16" s="17" t="inlineStr"/>
      <c r="E16" s="17" t="inlineStr"/>
    </row>
    <row r="17">
      <c r="A17" s="16" t="inlineStr">
        <is>
          <t>6. Assignment of Authority</t>
        </is>
      </c>
      <c r="B17" s="16" t="inlineStr">
        <is>
          <t>Do business unit heads accept accountability for risks?</t>
        </is>
      </c>
      <c r="C17" s="17" t="inlineStr"/>
      <c r="D17" s="17" t="inlineStr"/>
      <c r="E17" s="17" t="inlineStr"/>
    </row>
    <row r="18">
      <c r="A18" s="16" t="inlineStr">
        <is>
          <t>7. Human Resource Standards</t>
        </is>
      </c>
      <c r="B18" s="16" t="inlineStr">
        <is>
          <t>Do compensation structures incentivise excessive risk-taking?</t>
        </is>
      </c>
      <c r="C18" s="17" t="inlineStr"/>
      <c r="D18" s="17" t="inlineStr"/>
      <c r="E18" s="17" t="inlineStr"/>
    </row>
    <row r="19">
      <c r="A19" s="16" t="inlineStr">
        <is>
          <t>7. Human Resource Standards</t>
        </is>
      </c>
      <c r="B19" s="16" t="inlineStr">
        <is>
          <t>Is there key-person dependency in risk management?</t>
        </is>
      </c>
      <c r="C19" s="17" t="inlineStr"/>
      <c r="D19" s="17" t="inlineStr"/>
      <c r="E19" s="17" t="inlineStr"/>
    </row>
  </sheetData>
  <dataValidations count="1">
    <dataValidation sqref="D6:D100" showDropDown="0" showInputMessage="0" showErrorMessage="0" allowBlank="1" type="list">
      <formula1>"Strong,Adequate,Weak,Critical"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2" t="inlineStr">
        <is>
          <t>Risk Criteria — Impact, Likelihood, Vulnerability, Speed of Onset</t>
        </is>
      </c>
    </row>
    <row r="2">
      <c r="A2" s="13" t="inlineStr">
        <is>
          <t>Book Reference: Chapter 5, 9 — Four-dimensional scoring framework</t>
        </is>
      </c>
    </row>
    <row r="4">
      <c r="A4" s="11" t="inlineStr">
        <is>
          <t>FINANCIAL IMPACT SCALE</t>
        </is>
      </c>
    </row>
    <row r="5">
      <c r="A5" s="15" t="inlineStr">
        <is>
          <t>Score</t>
        </is>
      </c>
      <c r="B5" s="15" t="inlineStr">
        <is>
          <t>Rating</t>
        </is>
      </c>
      <c r="C5" s="15" t="inlineStr">
        <is>
          <t>Description</t>
        </is>
      </c>
      <c r="D5" s="15" t="inlineStr">
        <is>
          <t>CET1 Impact Anchor</t>
        </is>
      </c>
      <c r="E5" s="15" t="inlineStr">
        <is>
          <t>Example</t>
        </is>
      </c>
      <c r="F5" s="15" t="inlineStr"/>
    </row>
    <row r="6">
      <c r="A6" s="16" t="n">
        <v>1</v>
      </c>
      <c r="B6" s="16" t="inlineStr">
        <is>
          <t>Incidental</t>
        </is>
      </c>
      <c r="C6" s="16" t="inlineStr">
        <is>
          <t>Negligible financial impact</t>
        </is>
      </c>
      <c r="D6" s="16" t="inlineStr">
        <is>
          <t>&lt;1 bps of CET1</t>
        </is>
      </c>
      <c r="E6" s="16" t="inlineStr">
        <is>
          <t>Minor operational loss absorbed within budget</t>
        </is>
      </c>
    </row>
    <row r="7">
      <c r="A7" s="16" t="n">
        <v>2</v>
      </c>
      <c r="B7" s="16" t="inlineStr">
        <is>
          <t>Minor</t>
        </is>
      </c>
      <c r="C7" s="16" t="inlineStr">
        <is>
          <t>Small financial loss within normal volatility</t>
        </is>
      </c>
      <c r="D7" s="16" t="inlineStr">
        <is>
          <t>1-10 bps of CET1</t>
        </is>
      </c>
      <c r="E7" s="16" t="inlineStr">
        <is>
          <t>Failed trade, small fraud, minor write-down</t>
        </is>
      </c>
    </row>
    <row r="8">
      <c r="A8" s="16" t="n">
        <v>3</v>
      </c>
      <c r="B8" s="16" t="inlineStr">
        <is>
          <t>Moderate</t>
        </is>
      </c>
      <c r="C8" s="16" t="inlineStr">
        <is>
          <t>Material financial loss requiring management attention</t>
        </is>
      </c>
      <c r="D8" s="16" t="inlineStr">
        <is>
          <t>10-50 bps of CET1</t>
        </is>
      </c>
      <c r="E8" s="16" t="inlineStr">
        <is>
          <t>Significant credit default, trading loss, regulatory fine</t>
        </is>
      </c>
    </row>
    <row r="9">
      <c r="A9" s="16" t="n">
        <v>4</v>
      </c>
      <c r="B9" s="16" t="inlineStr">
        <is>
          <t>Major</t>
        </is>
      </c>
      <c r="C9" s="16" t="inlineStr">
        <is>
          <t>Severe financial loss threatening profitability</t>
        </is>
      </c>
      <c r="D9" s="16" t="inlineStr">
        <is>
          <t>50-200 bps of CET1</t>
        </is>
      </c>
      <c r="E9" s="16" t="inlineStr">
        <is>
          <t>Major counterparty failure, portfolio-level write-down</t>
        </is>
      </c>
    </row>
    <row r="10">
      <c r="A10" s="16" t="n">
        <v>5</v>
      </c>
      <c r="B10" s="16" t="inlineStr">
        <is>
          <t>Extreme</t>
        </is>
      </c>
      <c r="C10" s="16" t="inlineStr">
        <is>
          <t>Existential financial loss threatening solvency</t>
        </is>
      </c>
      <c r="D10" s="16" t="inlineStr">
        <is>
          <t>&gt;200 bps of CET1</t>
        </is>
      </c>
      <c r="E10" s="16" t="inlineStr">
        <is>
          <t>Systemic event, multiple simultaneous defaults</t>
        </is>
      </c>
    </row>
    <row r="12">
      <c r="A12" s="11" t="inlineStr">
        <is>
          <t>REGULATORY AND LEGAL IMPACT SCALE</t>
        </is>
      </c>
    </row>
    <row r="13">
      <c r="A13" s="15" t="inlineStr">
        <is>
          <t>Score</t>
        </is>
      </c>
      <c r="B13" s="15" t="inlineStr">
        <is>
          <t>Rating</t>
        </is>
      </c>
      <c r="C13" s="15" t="inlineStr">
        <is>
          <t>Description</t>
        </is>
      </c>
      <c r="D13" s="15" t="inlineStr"/>
      <c r="E13" s="15" t="inlineStr"/>
      <c r="F13" s="15" t="inlineStr"/>
    </row>
    <row r="14">
      <c r="A14" s="16" t="n">
        <v>1</v>
      </c>
      <c r="B14" s="16" t="inlineStr">
        <is>
          <t>Incidental</t>
        </is>
      </c>
      <c r="C14" s="16" t="inlineStr">
        <is>
          <t>Informal supervisory feedback, no action required</t>
        </is>
      </c>
      <c r="D14" s="16" t="inlineStr"/>
      <c r="E14" s="16" t="inlineStr"/>
      <c r="F14" s="16" t="inlineStr"/>
    </row>
    <row r="15">
      <c r="A15" s="16" t="n">
        <v>2</v>
      </c>
      <c r="B15" s="16" t="inlineStr">
        <is>
          <t>Minor</t>
        </is>
      </c>
      <c r="C15" s="16" t="inlineStr">
        <is>
          <t>Formal supervisory finding requiring remediation</t>
        </is>
      </c>
      <c r="D15" s="16" t="inlineStr"/>
      <c r="E15" s="16" t="inlineStr"/>
      <c r="F15" s="16" t="inlineStr"/>
    </row>
    <row r="16">
      <c r="A16" s="16" t="n">
        <v>3</v>
      </c>
      <c r="B16" s="16" t="inlineStr">
        <is>
          <t>Moderate</t>
        </is>
      </c>
      <c r="C16" s="16" t="inlineStr">
        <is>
          <t>Enforcement action, material fine, s166 review</t>
        </is>
      </c>
      <c r="D16" s="16" t="inlineStr"/>
      <c r="E16" s="16" t="inlineStr"/>
      <c r="F16" s="16" t="inlineStr"/>
    </row>
    <row r="17">
      <c r="A17" s="16" t="n">
        <v>4</v>
      </c>
      <c r="B17" s="16" t="inlineStr">
        <is>
          <t>Major</t>
        </is>
      </c>
      <c r="C17" s="16" t="inlineStr">
        <is>
          <t>Significant fine (&gt;1% revenue), restrictions on business</t>
        </is>
      </c>
      <c r="D17" s="16" t="inlineStr"/>
      <c r="E17" s="16" t="inlineStr"/>
      <c r="F17" s="16" t="inlineStr"/>
    </row>
    <row r="18">
      <c r="A18" s="16" t="n">
        <v>5</v>
      </c>
      <c r="B18" s="16" t="inlineStr">
        <is>
          <t>Extreme</t>
        </is>
      </c>
      <c r="C18" s="16" t="inlineStr">
        <is>
          <t>Licence revocation, forced restructuring, criminal proceedings</t>
        </is>
      </c>
      <c r="D18" s="16" t="inlineStr"/>
      <c r="E18" s="16" t="inlineStr"/>
      <c r="F18" s="16" t="inlineStr"/>
    </row>
    <row r="20">
      <c r="A20" s="11" t="inlineStr">
        <is>
          <t>REPUTATIONAL IMPACT SCALE</t>
        </is>
      </c>
    </row>
    <row r="21">
      <c r="A21" s="15" t="inlineStr">
        <is>
          <t>Score</t>
        </is>
      </c>
      <c r="B21" s="15" t="inlineStr">
        <is>
          <t>Rating</t>
        </is>
      </c>
      <c r="C21" s="15" t="inlineStr">
        <is>
          <t>Description</t>
        </is>
      </c>
      <c r="D21" s="15" t="inlineStr"/>
      <c r="E21" s="15" t="inlineStr"/>
      <c r="F21" s="15" t="inlineStr"/>
    </row>
    <row r="22">
      <c r="A22" s="16" t="n">
        <v>1</v>
      </c>
      <c r="B22" s="16" t="inlineStr">
        <is>
          <t>Incidental</t>
        </is>
      </c>
      <c r="C22" s="16" t="inlineStr">
        <is>
          <t>No external awareness</t>
        </is>
      </c>
      <c r="D22" s="16" t="inlineStr"/>
      <c r="E22" s="16" t="inlineStr"/>
      <c r="F22" s="16" t="inlineStr"/>
    </row>
    <row r="23">
      <c r="A23" s="16" t="n">
        <v>2</v>
      </c>
      <c r="B23" s="16" t="inlineStr">
        <is>
          <t>Minor</t>
        </is>
      </c>
      <c r="C23" s="16" t="inlineStr">
        <is>
          <t>Trade press coverage, limited stakeholder concern</t>
        </is>
      </c>
      <c r="D23" s="16" t="inlineStr"/>
      <c r="E23" s="16" t="inlineStr"/>
      <c r="F23" s="16" t="inlineStr"/>
    </row>
    <row r="24">
      <c r="A24" s="16" t="n">
        <v>3</v>
      </c>
      <c r="B24" s="16" t="inlineStr">
        <is>
          <t>Moderate</t>
        </is>
      </c>
      <c r="C24" s="16" t="inlineStr">
        <is>
          <t>National media coverage, customer attrition begins</t>
        </is>
      </c>
      <c r="D24" s="16" t="inlineStr"/>
      <c r="E24" s="16" t="inlineStr"/>
      <c r="F24" s="16" t="inlineStr"/>
    </row>
    <row r="25">
      <c r="A25" s="16" t="n">
        <v>4</v>
      </c>
      <c r="B25" s="16" t="inlineStr">
        <is>
          <t>Major</t>
        </is>
      </c>
      <c r="C25" s="16" t="inlineStr">
        <is>
          <t>Sustained negative coverage, significant customer/investor loss</t>
        </is>
      </c>
      <c r="D25" s="16" t="inlineStr"/>
      <c r="E25" s="16" t="inlineStr"/>
      <c r="F25" s="16" t="inlineStr"/>
    </row>
    <row r="26">
      <c r="A26" s="16" t="n">
        <v>5</v>
      </c>
      <c r="B26" s="16" t="inlineStr">
        <is>
          <t>Extreme</t>
        </is>
      </c>
      <c r="C26" s="16" t="inlineStr">
        <is>
          <t>Total loss of market confidence, franchise value destroyed</t>
        </is>
      </c>
      <c r="D26" s="16" t="inlineStr"/>
      <c r="E26" s="16" t="inlineStr"/>
      <c r="F26" s="16" t="inlineStr"/>
    </row>
    <row r="28">
      <c r="A28" s="11" t="inlineStr">
        <is>
          <t>CUSTOMER AND OPERATIONAL IMPACT SCALE</t>
        </is>
      </c>
    </row>
    <row r="29">
      <c r="A29" s="15" t="inlineStr">
        <is>
          <t>Score</t>
        </is>
      </c>
      <c r="B29" s="15" t="inlineStr">
        <is>
          <t>Rating</t>
        </is>
      </c>
      <c r="C29" s="15" t="inlineStr">
        <is>
          <t>Description</t>
        </is>
      </c>
      <c r="D29" s="15" t="inlineStr"/>
      <c r="E29" s="15" t="inlineStr"/>
      <c r="F29" s="15" t="inlineStr"/>
    </row>
    <row r="30">
      <c r="A30" s="16" t="n">
        <v>1</v>
      </c>
      <c r="B30" s="16" t="inlineStr">
        <is>
          <t>Incidental</t>
        </is>
      </c>
      <c r="C30" s="16" t="inlineStr">
        <is>
          <t>Negligible disruption, no customer impact</t>
        </is>
      </c>
      <c r="D30" s="16" t="inlineStr"/>
      <c r="E30" s="16" t="inlineStr"/>
      <c r="F30" s="16" t="inlineStr"/>
    </row>
    <row r="31">
      <c r="A31" s="16" t="n">
        <v>2</v>
      </c>
      <c r="B31" s="16" t="inlineStr">
        <is>
          <t>Minor</t>
        </is>
      </c>
      <c r="C31" s="16" t="inlineStr">
        <is>
          <t>Brief disruption, small number of customers affected</t>
        </is>
      </c>
      <c r="D31" s="16" t="inlineStr"/>
      <c r="E31" s="16" t="inlineStr"/>
      <c r="F31" s="16" t="inlineStr"/>
    </row>
    <row r="32">
      <c r="A32" s="16" t="n">
        <v>3</v>
      </c>
      <c r="B32" s="16" t="inlineStr">
        <is>
          <t>Moderate</t>
        </is>
      </c>
      <c r="C32" s="16" t="inlineStr">
        <is>
          <t>Significant disruption, material customer harm</t>
        </is>
      </c>
      <c r="D32" s="16" t="inlineStr"/>
      <c r="E32" s="16" t="inlineStr"/>
      <c r="F32" s="16" t="inlineStr"/>
    </row>
    <row r="33">
      <c r="A33" s="16" t="n">
        <v>4</v>
      </c>
      <c r="B33" s="16" t="inlineStr">
        <is>
          <t>Major</t>
        </is>
      </c>
      <c r="C33" s="16" t="inlineStr">
        <is>
          <t>Extended outage, widespread customer harm, systemic process failure</t>
        </is>
      </c>
      <c r="D33" s="16" t="inlineStr"/>
      <c r="E33" s="16" t="inlineStr"/>
      <c r="F33" s="16" t="inlineStr"/>
    </row>
    <row r="34">
      <c r="A34" s="16" t="n">
        <v>5</v>
      </c>
      <c r="B34" s="16" t="inlineStr">
        <is>
          <t>Extreme</t>
        </is>
      </c>
      <c r="C34" s="16" t="inlineStr">
        <is>
          <t>Total service failure, mass customer harm</t>
        </is>
      </c>
      <c r="D34" s="16" t="inlineStr"/>
      <c r="E34" s="16" t="inlineStr"/>
      <c r="F34" s="16" t="inlineStr"/>
    </row>
    <row r="36">
      <c r="A36" s="11" t="inlineStr">
        <is>
          <t>LIKELIHOOD SCALE</t>
        </is>
      </c>
    </row>
    <row r="37">
      <c r="A37" s="15" t="inlineStr">
        <is>
          <t>Score</t>
        </is>
      </c>
      <c r="B37" s="15" t="inlineStr">
        <is>
          <t>Rating</t>
        </is>
      </c>
      <c r="C37" s="15" t="inlineStr">
        <is>
          <t>Annual Probability</t>
        </is>
      </c>
      <c r="D37" s="15" t="inlineStr">
        <is>
          <t>Description</t>
        </is>
      </c>
      <c r="E37" s="15" t="inlineStr"/>
      <c r="F37" s="15" t="inlineStr"/>
    </row>
    <row r="38">
      <c r="A38" s="16" t="n">
        <v>1</v>
      </c>
      <c r="B38" s="16" t="inlineStr">
        <is>
          <t>Rare</t>
        </is>
      </c>
      <c r="C38" s="16" t="inlineStr">
        <is>
          <t>&lt;1%</t>
        </is>
      </c>
      <c r="D38" s="16" t="inlineStr">
        <is>
          <t>Conceivable but no precedent in institution or industry</t>
        </is>
      </c>
      <c r="E38" s="16" t="inlineStr"/>
      <c r="F38" s="16" t="inlineStr"/>
    </row>
    <row r="39">
      <c r="A39" s="16" t="n">
        <v>2</v>
      </c>
      <c r="B39" s="16" t="inlineStr">
        <is>
          <t>Unlikely</t>
        </is>
      </c>
      <c r="C39" s="16" t="inlineStr">
        <is>
          <t>1-10%</t>
        </is>
      </c>
      <c r="D39" s="16" t="inlineStr">
        <is>
          <t>Has occurred in industry but not at this institution recently</t>
        </is>
      </c>
      <c r="E39" s="16" t="inlineStr"/>
      <c r="F39" s="16" t="inlineStr"/>
    </row>
    <row r="40">
      <c r="A40" s="16" t="n">
        <v>3</v>
      </c>
      <c r="B40" s="16" t="inlineStr">
        <is>
          <t>Possible</t>
        </is>
      </c>
      <c r="C40" s="16" t="inlineStr">
        <is>
          <t>10-50%</t>
        </is>
      </c>
      <c r="D40" s="16" t="inlineStr">
        <is>
          <t>Has occurred at this institution or frequently in industry</t>
        </is>
      </c>
      <c r="E40" s="16" t="inlineStr"/>
      <c r="F40" s="16" t="inlineStr"/>
    </row>
    <row r="41">
      <c r="A41" s="16" t="n">
        <v>4</v>
      </c>
      <c r="B41" s="16" t="inlineStr">
        <is>
          <t>Likely</t>
        </is>
      </c>
      <c r="C41" s="16" t="inlineStr">
        <is>
          <t>50-90%</t>
        </is>
      </c>
      <c r="D41" s="16" t="inlineStr">
        <is>
          <t>Expected to occur within assessment horizon</t>
        </is>
      </c>
      <c r="E41" s="16" t="inlineStr"/>
      <c r="F41" s="16" t="inlineStr"/>
    </row>
    <row r="42">
      <c r="A42" s="16" t="n">
        <v>5</v>
      </c>
      <c r="B42" s="16" t="inlineStr">
        <is>
          <t>Frequent</t>
        </is>
      </c>
      <c r="C42" s="16" t="inlineStr">
        <is>
          <t>&gt;90%</t>
        </is>
      </c>
      <c r="D42" s="16" t="inlineStr">
        <is>
          <t>Occurring regularly, near-certain within horizon</t>
        </is>
      </c>
      <c r="E42" s="16" t="inlineStr"/>
      <c r="F42" s="16" t="inlineStr"/>
    </row>
    <row r="44">
      <c r="A44" s="11" t="inlineStr">
        <is>
          <t>VULNERABILITY SCALE</t>
        </is>
      </c>
    </row>
    <row r="45">
      <c r="A45" s="15" t="inlineStr">
        <is>
          <t>Score</t>
        </is>
      </c>
      <c r="B45" s="15" t="inlineStr">
        <is>
          <t>Rating</t>
        </is>
      </c>
      <c r="C45" s="15" t="inlineStr">
        <is>
          <t>Description</t>
        </is>
      </c>
      <c r="D45" s="15" t="inlineStr">
        <is>
          <t>Control Environment</t>
        </is>
      </c>
      <c r="E45" s="15" t="inlineStr"/>
      <c r="F45" s="15" t="inlineStr"/>
    </row>
    <row r="46">
      <c r="A46" s="16" t="n">
        <v>1</v>
      </c>
      <c r="B46" s="16" t="inlineStr">
        <is>
          <t>Very Low</t>
        </is>
      </c>
      <c r="C46" s="16" t="inlineStr">
        <is>
          <t>Institution well-prepared, robust controls, tested</t>
        </is>
      </c>
      <c r="D46" s="16" t="inlineStr">
        <is>
          <t>Multiple independent preventive and detective controls</t>
        </is>
      </c>
      <c r="E46" s="16" t="inlineStr"/>
      <c r="F46" s="16" t="inlineStr"/>
    </row>
    <row r="47">
      <c r="A47" s="16" t="n">
        <v>2</v>
      </c>
      <c r="B47" s="16" t="inlineStr">
        <is>
          <t>Low</t>
        </is>
      </c>
      <c r="C47" s="16" t="inlineStr">
        <is>
          <t>Good preparedness, minor gaps</t>
        </is>
      </c>
      <c r="D47" s="16" t="inlineStr">
        <is>
          <t>Controls in place, some untested or manual</t>
        </is>
      </c>
      <c r="E47" s="16" t="inlineStr"/>
      <c r="F47" s="16" t="inlineStr"/>
    </row>
    <row r="48">
      <c r="A48" s="16" t="n">
        <v>3</v>
      </c>
      <c r="B48" s="16" t="inlineStr">
        <is>
          <t>Moderate</t>
        </is>
      </c>
      <c r="C48" s="16" t="inlineStr">
        <is>
          <t>Partial preparedness, known control gaps</t>
        </is>
      </c>
      <c r="D48" s="16" t="inlineStr">
        <is>
          <t>Key controls exist but effectiveness uncertain</t>
        </is>
      </c>
      <c r="E48" s="16" t="inlineStr"/>
      <c r="F48" s="16" t="inlineStr"/>
    </row>
    <row r="49">
      <c r="A49" s="16" t="n">
        <v>4</v>
      </c>
      <c r="B49" s="16" t="inlineStr">
        <is>
          <t>High</t>
        </is>
      </c>
      <c r="C49" s="16" t="inlineStr">
        <is>
          <t>Poor preparedness, significant control gaps</t>
        </is>
      </c>
      <c r="D49" s="16" t="inlineStr">
        <is>
          <t>Controls inadequate or not designed for this scenario</t>
        </is>
      </c>
      <c r="E49" s="16" t="inlineStr"/>
      <c r="F49" s="16" t="inlineStr"/>
    </row>
    <row r="50">
      <c r="A50" s="16" t="n">
        <v>5</v>
      </c>
      <c r="B50" s="16" t="inlineStr">
        <is>
          <t>Very High</t>
        </is>
      </c>
      <c r="C50" s="16" t="inlineStr">
        <is>
          <t>No preparedness, no relevant controls</t>
        </is>
      </c>
      <c r="D50" s="16" t="inlineStr">
        <is>
          <t>No controls, no experience, no capability</t>
        </is>
      </c>
      <c r="E50" s="16" t="inlineStr"/>
      <c r="F50" s="16" t="inlineStr"/>
    </row>
    <row r="52">
      <c r="A52" s="11" t="inlineStr">
        <is>
          <t>SPEED OF ONSET SCALE</t>
        </is>
      </c>
    </row>
    <row r="53">
      <c r="A53" s="15" t="inlineStr">
        <is>
          <t>Score</t>
        </is>
      </c>
      <c r="B53" s="15" t="inlineStr">
        <is>
          <t>Rating</t>
        </is>
      </c>
      <c r="C53" s="15" t="inlineStr">
        <is>
          <t>Timeframe</t>
        </is>
      </c>
      <c r="D53" s="15" t="inlineStr">
        <is>
          <t>Description</t>
        </is>
      </c>
      <c r="E53" s="15" t="inlineStr"/>
      <c r="F53" s="15" t="inlineStr"/>
    </row>
    <row r="54">
      <c r="A54" s="16" t="n">
        <v>1</v>
      </c>
      <c r="B54" s="16" t="inlineStr">
        <is>
          <t>Very Slow</t>
        </is>
      </c>
      <c r="C54" s="16" t="inlineStr">
        <is>
          <t>&gt; 2 years</t>
        </is>
      </c>
      <c r="D54" s="16" t="inlineStr">
        <is>
          <t>Gradual emergence, ample time to respond</t>
        </is>
      </c>
      <c r="E54" s="16" t="inlineStr"/>
      <c r="F54" s="16" t="inlineStr"/>
    </row>
    <row r="55">
      <c r="A55" s="16" t="n">
        <v>2</v>
      </c>
      <c r="B55" s="16" t="inlineStr">
        <is>
          <t>Slow</t>
        </is>
      </c>
      <c r="C55" s="16" t="inlineStr">
        <is>
          <t>1-2 years</t>
        </is>
      </c>
      <c r="D55" s="16" t="inlineStr">
        <is>
          <t>Developing over quarters, visible early indicators</t>
        </is>
      </c>
      <c r="E55" s="16" t="inlineStr"/>
      <c r="F55" s="16" t="inlineStr"/>
    </row>
    <row r="56">
      <c r="A56" s="16" t="n">
        <v>3</v>
      </c>
      <c r="B56" s="16" t="inlineStr">
        <is>
          <t>Moderate</t>
        </is>
      </c>
      <c r="C56" s="16" t="inlineStr">
        <is>
          <t>3-12 months</t>
        </is>
      </c>
      <c r="D56" s="16" t="inlineStr">
        <is>
          <t>Emerges within a year, limited response window</t>
        </is>
      </c>
      <c r="E56" s="16" t="inlineStr"/>
      <c r="F56" s="16" t="inlineStr"/>
    </row>
    <row r="57">
      <c r="A57" s="16" t="n">
        <v>4</v>
      </c>
      <c r="B57" s="16" t="inlineStr">
        <is>
          <t>Fast</t>
        </is>
      </c>
      <c r="C57" s="16" t="inlineStr">
        <is>
          <t>1 week - 3 months</t>
        </is>
      </c>
      <c r="D57" s="16" t="inlineStr">
        <is>
          <t>Rapid materialisation, reactive response only</t>
        </is>
      </c>
      <c r="E57" s="16" t="inlineStr"/>
      <c r="F57" s="16" t="inlineStr"/>
    </row>
    <row r="58">
      <c r="A58" s="16" t="n">
        <v>5</v>
      </c>
      <c r="B58" s="16" t="inlineStr">
        <is>
          <t>Immediate</t>
        </is>
      </c>
      <c r="C58" s="16" t="inlineStr">
        <is>
          <t>&lt; 1 week</t>
        </is>
      </c>
      <c r="D58" s="16" t="inlineStr">
        <is>
          <t>Instantaneous or near-instantaneous crystallisation</t>
        </is>
      </c>
      <c r="E58" s="16" t="inlineStr"/>
      <c r="F58" s="16" t="inlineStr"/>
    </row>
    <row r="60">
      <c r="A60" s="11" t="inlineStr">
        <is>
          <t>DATA QUALITY RATING</t>
        </is>
      </c>
    </row>
    <row r="61">
      <c r="A61" s="15" t="inlineStr">
        <is>
          <t>Rating</t>
        </is>
      </c>
      <c r="B61" s="15" t="inlineStr">
        <is>
          <t>Description</t>
        </is>
      </c>
      <c r="C61" s="15" t="inlineStr">
        <is>
          <t>Typical Basis</t>
        </is>
      </c>
      <c r="D61" s="15" t="inlineStr">
        <is>
          <t>Conservatism Adjustment</t>
        </is>
      </c>
      <c r="E61" s="15" t="inlineStr"/>
      <c r="F61" s="15" t="inlineStr"/>
    </row>
    <row r="62">
      <c r="A62" s="16" t="inlineStr">
        <is>
          <t>High</t>
        </is>
      </c>
      <c r="B62" s="16" t="inlineStr">
        <is>
          <t>Robust quantitative data, validated models</t>
        </is>
      </c>
      <c r="C62" s="16" t="inlineStr">
        <is>
          <t>Internal loss data, market data, audited figures</t>
        </is>
      </c>
      <c r="D62" s="16" t="inlineStr">
        <is>
          <t>None</t>
        </is>
      </c>
      <c r="E62" s="16" t="inlineStr"/>
      <c r="F62" s="16" t="inlineStr"/>
    </row>
    <row r="63">
      <c r="A63" s="16" t="inlineStr">
        <is>
          <t>Medium</t>
        </is>
      </c>
      <c r="B63" s="16" t="inlineStr">
        <is>
          <t>Reasonable data with some gaps</t>
        </is>
      </c>
      <c r="C63" s="16" t="inlineStr">
        <is>
          <t>Industry benchmarks, expert estimates with evidence</t>
        </is>
      </c>
      <c r="D63" s="16" t="inlineStr">
        <is>
          <t>Minor upward adjustment</t>
        </is>
      </c>
      <c r="E63" s="16" t="inlineStr"/>
      <c r="F63" s="16" t="inlineStr"/>
    </row>
    <row r="64">
      <c r="A64" s="16" t="inlineStr">
        <is>
          <t>Low</t>
        </is>
      </c>
      <c r="B64" s="16" t="inlineStr">
        <is>
          <t>Limited data, significant expert judgement</t>
        </is>
      </c>
      <c r="C64" s="16" t="inlineStr">
        <is>
          <t>Analogous events, qualitative assessment</t>
        </is>
      </c>
      <c r="D64" s="16" t="inlineStr">
        <is>
          <t>Material upward adjustment</t>
        </is>
      </c>
      <c r="E64" s="16" t="inlineStr"/>
      <c r="F64" s="16" t="inlineStr"/>
    </row>
    <row r="65">
      <c r="A65" s="16" t="inlineStr">
        <is>
          <t>Very Low</t>
        </is>
      </c>
      <c r="B65" s="16" t="inlineStr">
        <is>
          <t>No relevant data, pure expert judgement</t>
        </is>
      </c>
      <c r="C65" s="16" t="inlineStr">
        <is>
          <t>Hypothetical assessment, no precedent</t>
        </is>
      </c>
      <c r="D65" s="16" t="inlineStr">
        <is>
          <t>Maximum conservatism</t>
        </is>
      </c>
      <c r="E65" s="16" t="inlineStr"/>
      <c r="F65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A55A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50" customWidth="1" min="4" max="4"/>
    <col width="30" customWidth="1" min="5" max="5"/>
  </cols>
  <sheetData>
    <row r="1">
      <c r="A1" s="12" t="inlineStr">
        <is>
          <t>Top-Down SWIFT Workshop — Structure and Guide Words</t>
        </is>
      </c>
    </row>
    <row r="2">
      <c r="A2" s="13" t="inlineStr">
        <is>
          <t>Book Reference: Chapter 6 — Top-Down Identification</t>
        </is>
      </c>
    </row>
    <row r="4">
      <c r="A4" s="11" t="inlineStr">
        <is>
          <t>WORKSHOP STRUCTURE</t>
        </is>
      </c>
    </row>
    <row r="5">
      <c r="A5" s="15" t="inlineStr">
        <is>
          <t>Stage</t>
        </is>
      </c>
      <c r="B5" s="15" t="inlineStr">
        <is>
          <t>Activity</t>
        </is>
      </c>
      <c r="C5" s="15" t="inlineStr">
        <is>
          <t>Duration</t>
        </is>
      </c>
      <c r="D5" s="15" t="inlineStr">
        <is>
          <t>Purpose</t>
        </is>
      </c>
      <c r="E5" s="15" t="inlineStr">
        <is>
          <t>Output</t>
        </is>
      </c>
    </row>
    <row r="6">
      <c r="A6" s="16" t="n">
        <v>1</v>
      </c>
      <c r="B6" s="16" t="inlineStr">
        <is>
          <t>Opening and Context</t>
        </is>
      </c>
      <c r="C6" s="16" t="inlineStr">
        <is>
          <t>30 min</t>
        </is>
      </c>
      <c r="D6" s="16" t="inlineStr">
        <is>
          <t>Present PESTLE findings, internal environment summary, prior-year risks, industry events</t>
        </is>
      </c>
      <c r="E6" s="16" t="inlineStr">
        <is>
          <t>Shared understanding of current landscape</t>
        </is>
      </c>
    </row>
    <row r="7">
      <c r="A7" s="16" t="n">
        <v>2</v>
      </c>
      <c r="B7" s="16" t="inlineStr">
        <is>
          <t>Independent Assessment Review</t>
        </is>
      </c>
      <c r="C7" s="16" t="inlineStr">
        <is>
          <t>30 min</t>
        </is>
      </c>
      <c r="D7" s="16" t="inlineStr">
        <is>
          <t>Compare pre-workshop submissions, identify common themes and divergences</t>
        </is>
      </c>
      <c r="E7" s="16" t="inlineStr">
        <is>
          <t>Aggregated view of participant perspectives</t>
        </is>
      </c>
    </row>
    <row r="8">
      <c r="A8" s="16" t="n">
        <v>3</v>
      </c>
      <c r="B8" s="16" t="inlineStr">
        <is>
          <t>SWIFT Systematic Walk-Through</t>
        </is>
      </c>
      <c r="C8" s="16" t="inlineStr">
        <is>
          <t>90 min</t>
        </is>
      </c>
      <c r="D8" s="16" t="inlineStr">
        <is>
          <t>Apply guide words across each L1 risk category using prompt matrix</t>
        </is>
      </c>
      <c r="E8" s="16" t="inlineStr">
        <is>
          <t>Comprehensive risk identification across all categories</t>
        </is>
      </c>
    </row>
    <row r="9">
      <c r="A9" s="16" t="n">
        <v>4</v>
      </c>
      <c r="B9" s="16" t="inlineStr">
        <is>
          <t>Emerging Risk Horizon Scan</t>
        </is>
      </c>
      <c r="C9" s="16" t="inlineStr">
        <is>
          <t>30 min</t>
        </is>
      </c>
      <c r="D9" s="16" t="inlineStr">
        <is>
          <t>Identify risks not yet in taxonomy — 1yr, 3yr, 5yr horizons</t>
        </is>
      </c>
      <c r="E9" s="16" t="inlineStr">
        <is>
          <t>Emerging risk candidates for Delphi follow-up</t>
        </is>
      </c>
    </row>
    <row r="10">
      <c r="A10" s="16" t="n">
        <v>5</v>
      </c>
      <c r="B10" s="16" t="inlineStr">
        <is>
          <t>Prioritisation and Scoring</t>
        </is>
      </c>
      <c r="C10" s="16" t="inlineStr">
        <is>
          <t>45 min</t>
        </is>
      </c>
      <c r="D10" s="16" t="inlineStr">
        <is>
          <t>Preliminary four-dimensional scoring of identified risks</t>
        </is>
      </c>
      <c r="E10" s="16" t="inlineStr">
        <is>
          <t>Ranked principal risk list with initial scores</t>
        </is>
      </c>
    </row>
    <row r="11">
      <c r="A11" s="16" t="n">
        <v>6</v>
      </c>
      <c r="B11" s="16" t="inlineStr">
        <is>
          <t>Wrap-Up and Actions</t>
        </is>
      </c>
      <c r="C11" s="16" t="inlineStr">
        <is>
          <t>15 min</t>
        </is>
      </c>
      <c r="D11" s="16" t="inlineStr">
        <is>
          <t>Assign risk owners, identify gaps requiring further analysis</t>
        </is>
      </c>
      <c r="E11" s="16" t="inlineStr">
        <is>
          <t>Action log, assumption register entries, disagreement log entries</t>
        </is>
      </c>
    </row>
    <row r="14">
      <c r="A14" s="11" t="inlineStr">
        <is>
          <t>SWIFT GUIDE WORDS</t>
        </is>
      </c>
    </row>
    <row r="15">
      <c r="A15" s="15" t="inlineStr">
        <is>
          <t>#</t>
        </is>
      </c>
      <c r="B15" s="15" t="inlineStr">
        <is>
          <t>Guide Word</t>
        </is>
      </c>
      <c r="C15" s="15" t="inlineStr">
        <is>
          <t>Purpose</t>
        </is>
      </c>
      <c r="D15" s="15" t="inlineStr">
        <is>
          <t>Example Prompt</t>
        </is>
      </c>
      <c r="E15" s="15" t="inlineStr"/>
    </row>
    <row r="16">
      <c r="A16" s="16" t="n">
        <v>1</v>
      </c>
      <c r="B16" s="16" t="inlineStr">
        <is>
          <t>What if...</t>
        </is>
      </c>
      <c r="C16" s="16" t="inlineStr">
        <is>
          <t>Explore deviation from expected conditions</t>
        </is>
      </c>
      <c r="D16" s="16" t="inlineStr">
        <is>
          <t>What if interest rates rise 300bps in 6 months?</t>
        </is>
      </c>
      <c r="E16" s="16" t="inlineStr"/>
    </row>
    <row r="17">
      <c r="A17" s="16" t="n">
        <v>2</v>
      </c>
      <c r="B17" s="16" t="inlineStr">
        <is>
          <t>What would happen if...</t>
        </is>
      </c>
      <c r="C17" s="16" t="inlineStr">
        <is>
          <t>Explore consequences of specific events</t>
        </is>
      </c>
      <c r="D17" s="16" t="inlineStr">
        <is>
          <t>What would happen if our largest counterparty defaulted?</t>
        </is>
      </c>
      <c r="E17" s="16" t="inlineStr"/>
    </row>
    <row r="18">
      <c r="A18" s="16" t="n">
        <v>3</v>
      </c>
      <c r="B18" s="16" t="inlineStr">
        <is>
          <t>Could someone...</t>
        </is>
      </c>
      <c r="C18" s="16" t="inlineStr">
        <is>
          <t>Explore internal actor risks (fraud, error, conduct)</t>
        </is>
      </c>
      <c r="D18" s="16" t="inlineStr">
        <is>
          <t>Could someone bypass trade confirmation controls?</t>
        </is>
      </c>
      <c r="E18" s="16" t="inlineStr"/>
    </row>
    <row r="19">
      <c r="A19" s="16" t="n">
        <v>4</v>
      </c>
      <c r="B19" s="16" t="inlineStr">
        <is>
          <t>Could something...</t>
        </is>
      </c>
      <c r="C19" s="16" t="inlineStr">
        <is>
          <t>Explore external/systemic threats</t>
        </is>
      </c>
      <c r="D19" s="16" t="inlineStr">
        <is>
          <t>Could something disrupt our primary data centre for &gt;24hrs?</t>
        </is>
      </c>
      <c r="E19" s="16" t="inlineStr"/>
    </row>
    <row r="20">
      <c r="A20" s="16" t="n">
        <v>5</v>
      </c>
      <c r="B20" s="16" t="inlineStr">
        <is>
          <t>Has anyone considered...</t>
        </is>
      </c>
      <c r="C20" s="16" t="inlineStr">
        <is>
          <t>Surface assumptions and blind spots</t>
        </is>
      </c>
      <c r="D20" s="16" t="inlineStr">
        <is>
          <t>Has anyone considered our exposure to a single cloud provider?</t>
        </is>
      </c>
      <c r="E20" s="16" t="inlineStr"/>
    </row>
    <row r="21">
      <c r="A21" s="16" t="n">
        <v>6</v>
      </c>
      <c r="B21" s="16" t="inlineStr">
        <is>
          <t>What is the worst...</t>
        </is>
      </c>
      <c r="C21" s="16" t="inlineStr">
        <is>
          <t>Explore tail risks and extreme scenarios</t>
        </is>
      </c>
      <c r="D21" s="16" t="inlineStr">
        <is>
          <t>What is the worst outcome from our wholesale funding concentration?</t>
        </is>
      </c>
      <c r="E21" s="16" t="inlineStr"/>
    </row>
    <row r="22">
      <c r="A22" s="16" t="n">
        <v>7</v>
      </c>
      <c r="B22" s="16" t="inlineStr">
        <is>
          <t>How would we know if...</t>
        </is>
      </c>
      <c r="C22" s="16" t="inlineStr">
        <is>
          <t>Test detection capabilities and early warning</t>
        </is>
      </c>
      <c r="D22" s="16" t="inlineStr">
        <is>
          <t>How would we know if a rogue trader was concealing losses?</t>
        </is>
      </c>
      <c r="E22" s="16" t="inlineStr"/>
    </row>
    <row r="23">
      <c r="A23" s="16" t="n">
        <v>8</v>
      </c>
      <c r="B23" s="16" t="inlineStr">
        <is>
          <t>What changed since...</t>
        </is>
      </c>
      <c r="C23" s="16" t="inlineStr">
        <is>
          <t>Identify new or evolved risks</t>
        </is>
      </c>
      <c r="D23" s="16" t="inlineStr">
        <is>
          <t>What changed since last quarter that affects our credit portfolio?</t>
        </is>
      </c>
      <c r="E23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A55A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SWIFT Prompt Matrix</t>
        </is>
      </c>
    </row>
    <row r="2">
      <c r="A2" s="13" t="inlineStr">
        <is>
          <t>Book Reference: Chapter 6 — Customise for your institution's context</t>
        </is>
      </c>
    </row>
    <row r="3">
      <c r="A3" s="14" t="inlineStr">
        <is>
          <t>Populate this matrix before the workshop. Each cell contains a specific prompt combining the guide word (column) with the risk category (row).</t>
        </is>
      </c>
    </row>
    <row r="5">
      <c r="A5" s="15" t="inlineStr">
        <is>
          <t>L1 Risk Category ↓ / Guide Word →</t>
        </is>
      </c>
      <c r="B5" s="15" t="inlineStr">
        <is>
          <t>What if...</t>
        </is>
      </c>
      <c r="C5" s="15" t="inlineStr">
        <is>
          <t>Could someone...</t>
        </is>
      </c>
      <c r="D5" s="15" t="inlineStr">
        <is>
          <t>Could something...</t>
        </is>
      </c>
      <c r="E5" s="15" t="inlineStr">
        <is>
          <t>Has anyone considered...</t>
        </is>
      </c>
      <c r="F5" s="15" t="inlineStr">
        <is>
          <t>What is the worst...</t>
        </is>
      </c>
    </row>
    <row r="6">
      <c r="A6" s="16" t="inlineStr">
        <is>
          <t>Credit Risk</t>
        </is>
      </c>
      <c r="B6" s="17" t="inlineStr"/>
      <c r="C6" s="17" t="inlineStr"/>
      <c r="D6" s="17" t="inlineStr"/>
      <c r="E6" s="17" t="inlineStr"/>
      <c r="F6" s="17" t="inlineStr"/>
    </row>
    <row r="7">
      <c r="A7" s="16" t="inlineStr">
        <is>
          <t>Market Risk</t>
        </is>
      </c>
      <c r="B7" s="17" t="inlineStr"/>
      <c r="C7" s="17" t="inlineStr"/>
      <c r="D7" s="17" t="inlineStr"/>
      <c r="E7" s="17" t="inlineStr"/>
      <c r="F7" s="17" t="inlineStr"/>
    </row>
    <row r="8">
      <c r="A8" s="16" t="inlineStr">
        <is>
          <t>Operational Risk</t>
        </is>
      </c>
      <c r="B8" s="17" t="inlineStr"/>
      <c r="C8" s="17" t="inlineStr"/>
      <c r="D8" s="17" t="inlineStr"/>
      <c r="E8" s="17" t="inlineStr"/>
      <c r="F8" s="17" t="inlineStr"/>
    </row>
    <row r="9">
      <c r="A9" s="16" t="inlineStr">
        <is>
          <t>Liquidity Risk</t>
        </is>
      </c>
      <c r="B9" s="17" t="inlineStr"/>
      <c r="C9" s="17" t="inlineStr"/>
      <c r="D9" s="17" t="inlineStr"/>
      <c r="E9" s="17" t="inlineStr"/>
      <c r="F9" s="17" t="inlineStr"/>
    </row>
    <row r="10">
      <c r="A10" s="16" t="inlineStr">
        <is>
          <t>Strategic Risk</t>
        </is>
      </c>
      <c r="B10" s="17" t="inlineStr"/>
      <c r="C10" s="17" t="inlineStr"/>
      <c r="D10" s="17" t="inlineStr"/>
      <c r="E10" s="17" t="inlineStr"/>
      <c r="F10" s="17" t="inlineStr"/>
    </row>
    <row r="11">
      <c r="A11" s="16" t="inlineStr">
        <is>
          <t>Conduct Risk</t>
        </is>
      </c>
      <c r="B11" s="17" t="inlineStr"/>
      <c r="C11" s="17" t="inlineStr"/>
      <c r="D11" s="17" t="inlineStr"/>
      <c r="E11" s="17" t="inlineStr"/>
      <c r="F11" s="17" t="inlineStr"/>
    </row>
    <row r="12">
      <c r="A12" s="16" t="inlineStr">
        <is>
          <t>Compliance Risk</t>
        </is>
      </c>
      <c r="B12" s="17" t="inlineStr"/>
      <c r="C12" s="17" t="inlineStr"/>
      <c r="D12" s="17" t="inlineStr"/>
      <c r="E12" s="17" t="inlineStr"/>
      <c r="F12" s="17" t="inlineStr"/>
    </row>
    <row r="13">
      <c r="A13" s="16" t="inlineStr">
        <is>
          <t>Technology / Cyber Risk</t>
        </is>
      </c>
      <c r="B13" s="17" t="inlineStr"/>
      <c r="C13" s="17" t="inlineStr"/>
      <c r="D13" s="17" t="inlineStr"/>
      <c r="E13" s="17" t="inlineStr"/>
      <c r="F13" s="17" t="inlineStr"/>
    </row>
    <row r="14">
      <c r="A14" s="16" t="inlineStr">
        <is>
          <t>Reputational Risk</t>
        </is>
      </c>
      <c r="B14" s="17" t="inlineStr"/>
      <c r="C14" s="17" t="inlineStr"/>
      <c r="D14" s="17" t="inlineStr"/>
      <c r="E14" s="17" t="inlineStr"/>
      <c r="F14" s="17" t="inlineStr"/>
    </row>
    <row r="15">
      <c r="A15" s="16" t="inlineStr">
        <is>
          <t>Climate / ESG Risk</t>
        </is>
      </c>
      <c r="B15" s="17" t="inlineStr"/>
      <c r="C15" s="17" t="inlineStr"/>
      <c r="D15" s="17" t="inlineStr"/>
      <c r="E15" s="17" t="inlineStr"/>
      <c r="F15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A55A"/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30" customWidth="1" min="4" max="4"/>
    <col width="30" customWidth="1" min="5" max="5"/>
    <col width="25" customWidth="1" min="6" max="6"/>
    <col width="30" customWidth="1" min="7" max="7"/>
    <col width="20" customWidth="1" min="8" max="8"/>
    <col width="25" customWidth="1" min="9" max="9"/>
    <col width="15" customWidth="1" min="10" max="10"/>
    <col width="15" customWidth="1" min="11" max="11"/>
  </cols>
  <sheetData>
    <row r="1">
      <c r="A1" s="12" t="inlineStr">
        <is>
          <t>Standardised Bottom-Up Risk Assessment Template (11 Fields)</t>
        </is>
      </c>
    </row>
    <row r="2">
      <c r="A2" s="13" t="inlineStr">
        <is>
          <t>Book Reference: Chapter 7 — Bottom-Up Identification</t>
        </is>
      </c>
    </row>
    <row r="3">
      <c r="A3" s="14" t="inlineStr">
        <is>
          <t>Each business unit completes one row per risk. This is the standard template; specialist sub-processes (RCSA, ICT, AML, etc.) have additional fields.</t>
        </is>
      </c>
    </row>
    <row r="5">
      <c r="A5" s="15" t="inlineStr">
        <is>
          <t>Risk ID</t>
        </is>
      </c>
      <c r="B5" s="15" t="inlineStr">
        <is>
          <t>Taxonomy (L1/L2)</t>
        </is>
      </c>
      <c r="C5" s="15" t="inlineStr">
        <is>
          <t>Risk Definition</t>
        </is>
      </c>
      <c r="D5" s="15" t="inlineStr">
        <is>
          <t>Direct Drivers</t>
        </is>
      </c>
      <c r="E5" s="15" t="inlineStr">
        <is>
          <t>Indirect Drivers</t>
        </is>
      </c>
      <c r="F5" s="15" t="inlineStr">
        <is>
          <t>Quantitative Metrics</t>
        </is>
      </c>
      <c r="G5" s="15" t="inlineStr">
        <is>
          <t>Current Controls</t>
        </is>
      </c>
      <c r="H5" s="15" t="inlineStr">
        <is>
          <t>Risk Owner</t>
        </is>
      </c>
      <c r="I5" s="15" t="inlineStr">
        <is>
          <t>Emerging Risk Indicators</t>
        </is>
      </c>
      <c r="J5" s="15" t="inlineStr">
        <is>
          <t>Data Quality</t>
        </is>
      </c>
      <c r="K5" s="15" t="inlineStr">
        <is>
          <t>Qualitative Notes</t>
        </is>
      </c>
    </row>
    <row r="6">
      <c r="A6" s="16" t="inlineStr">
        <is>
          <t>CR-001</t>
        </is>
      </c>
      <c r="B6" s="16" t="inlineStr">
        <is>
          <t>Credit / Counterparty</t>
        </is>
      </c>
      <c r="C6" s="16" t="inlineStr">
        <is>
          <t>Risk of loss from counterparty default on OTC derivative obligations</t>
        </is>
      </c>
      <c r="D6" s="16" t="inlineStr">
        <is>
          <t>Counterparty credit deterioration, wrong-way risk, collateral shortfall</t>
        </is>
      </c>
      <c r="E6" s="16" t="inlineStr">
        <is>
          <t>Market volatility increasing exposure at default, correlation between counterparties</t>
        </is>
      </c>
      <c r="F6" s="16" t="inlineStr">
        <is>
          <t>Current exposure: $2.1B gross, $0.8B net of collateral</t>
        </is>
      </c>
      <c r="G6" s="16" t="inlineStr">
        <is>
          <t>Daily margining, ISDA CSAs, credit limits, CVA desk hedging</t>
        </is>
      </c>
      <c r="H6" s="16" t="inlineStr">
        <is>
          <t>Head of Credit Risk</t>
        </is>
      </c>
      <c r="I6" s="16" t="inlineStr">
        <is>
          <t>Widening CDS spreads on top 10 counterparties</t>
        </is>
      </c>
      <c r="J6" s="16" t="inlineStr">
        <is>
          <t>High</t>
        </is>
      </c>
      <c r="K6" s="16" t="inlineStr">
        <is>
          <t>Concentration in energy sector counterparties increasing</t>
        </is>
      </c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</sheetData>
  <dataValidations count="1">
    <dataValidation sqref="J6:J200" showDropDown="0" showInputMessage="0" showErrorMessage="0" allowBlank="1" type="list">
      <formula1>"High,Medium,Low,Very 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A55A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40" customWidth="1" min="4" max="4"/>
    <col width="15" customWidth="1" min="5" max="5"/>
  </cols>
  <sheetData>
    <row r="1">
      <c r="A1" s="12" t="inlineStr">
        <is>
          <t>Pre-Workshop Independent Assessment</t>
        </is>
      </c>
    </row>
    <row r="2">
      <c r="A2" s="13" t="inlineStr">
        <is>
          <t>Book Reference: Chapter 6 — Each participant completes before the workshop</t>
        </is>
      </c>
    </row>
    <row r="3">
      <c r="A3" s="14" t="inlineStr">
        <is>
          <t>List your top 10 risks independently. Do not discuss with other participants before submission.</t>
        </is>
      </c>
    </row>
    <row r="4">
      <c r="A4" s="21" t="inlineStr">
        <is>
          <t>Participant Name:</t>
        </is>
      </c>
      <c r="B4" s="20" t="n"/>
    </row>
    <row r="6">
      <c r="A6" s="15" t="inlineStr">
        <is>
          <t>Rank</t>
        </is>
      </c>
      <c r="B6" s="15" t="inlineStr">
        <is>
          <t>Risk Description</t>
        </is>
      </c>
      <c r="C6" s="15" t="inlineStr">
        <is>
          <t>Taxonomy Category</t>
        </is>
      </c>
      <c r="D6" s="15" t="inlineStr">
        <is>
          <t>Why This Risk Now?</t>
        </is>
      </c>
      <c r="E6" s="15" t="inlineStr">
        <is>
          <t>Confidence</t>
        </is>
      </c>
    </row>
    <row r="7">
      <c r="A7" s="16" t="n">
        <v>1</v>
      </c>
      <c r="B7" s="17" t="inlineStr"/>
      <c r="C7" s="17" t="inlineStr"/>
      <c r="D7" s="17" t="inlineStr"/>
      <c r="E7" s="17" t="inlineStr"/>
    </row>
    <row r="8">
      <c r="A8" s="16" t="n">
        <v>2</v>
      </c>
      <c r="B8" s="17" t="inlineStr"/>
      <c r="C8" s="17" t="inlineStr"/>
      <c r="D8" s="17" t="inlineStr"/>
      <c r="E8" s="17" t="inlineStr"/>
    </row>
    <row r="9">
      <c r="A9" s="16" t="n">
        <v>3</v>
      </c>
      <c r="B9" s="17" t="inlineStr"/>
      <c r="C9" s="17" t="inlineStr"/>
      <c r="D9" s="17" t="inlineStr"/>
      <c r="E9" s="17" t="inlineStr"/>
    </row>
    <row r="10">
      <c r="A10" s="16" t="n">
        <v>4</v>
      </c>
      <c r="B10" s="17" t="inlineStr"/>
      <c r="C10" s="17" t="inlineStr"/>
      <c r="D10" s="17" t="inlineStr"/>
      <c r="E10" s="17" t="inlineStr"/>
    </row>
    <row r="11">
      <c r="A11" s="16" t="n">
        <v>5</v>
      </c>
      <c r="B11" s="17" t="inlineStr"/>
      <c r="C11" s="17" t="inlineStr"/>
      <c r="D11" s="17" t="inlineStr"/>
      <c r="E11" s="17" t="inlineStr"/>
    </row>
    <row r="12">
      <c r="A12" s="16" t="n">
        <v>6</v>
      </c>
      <c r="B12" s="17" t="inlineStr"/>
      <c r="C12" s="17" t="inlineStr"/>
      <c r="D12" s="17" t="inlineStr"/>
      <c r="E12" s="17" t="inlineStr"/>
    </row>
    <row r="13">
      <c r="A13" s="16" t="n">
        <v>7</v>
      </c>
      <c r="B13" s="17" t="inlineStr"/>
      <c r="C13" s="17" t="inlineStr"/>
      <c r="D13" s="17" t="inlineStr"/>
      <c r="E13" s="17" t="inlineStr"/>
    </row>
    <row r="14">
      <c r="A14" s="16" t="n">
        <v>8</v>
      </c>
      <c r="B14" s="17" t="inlineStr"/>
      <c r="C14" s="17" t="inlineStr"/>
      <c r="D14" s="17" t="inlineStr"/>
      <c r="E14" s="17" t="inlineStr"/>
    </row>
    <row r="15">
      <c r="A15" s="16" t="n">
        <v>9</v>
      </c>
      <c r="B15" s="17" t="inlineStr"/>
      <c r="C15" s="17" t="inlineStr"/>
      <c r="D15" s="17" t="inlineStr"/>
      <c r="E15" s="17" t="inlineStr"/>
    </row>
    <row r="16">
      <c r="A16" s="16" t="n">
        <v>10</v>
      </c>
      <c r="B16" s="17" t="inlineStr"/>
      <c r="C16" s="17" t="inlineStr"/>
      <c r="D16" s="17" t="inlineStr"/>
      <c r="E16" s="17" t="inlineStr"/>
    </row>
  </sheetData>
  <dataValidations count="1">
    <dataValidation sqref="E7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A7F7F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30" customWidth="1" min="5" max="5"/>
    <col width="20" customWidth="1" min="6" max="6"/>
    <col width="15" customWidth="1" min="7" max="7"/>
  </cols>
  <sheetData>
    <row r="1">
      <c r="A1" s="12" t="inlineStr">
        <is>
          <t>Reconciliation Gap Analysis</t>
        </is>
      </c>
    </row>
    <row r="2">
      <c r="A2" s="13" t="inlineStr">
        <is>
          <t>Book Reference: Chapter 8 — Reconciliation and Enterprise Portfolio View</t>
        </is>
      </c>
    </row>
    <row r="4">
      <c r="A4" s="11" t="inlineStr">
        <is>
          <t>TOP-DOWN GAPS (risks in workshop not in bottom-up submissions)</t>
        </is>
      </c>
    </row>
    <row r="5">
      <c r="A5" s="15" t="inlineStr">
        <is>
          <t>Risk ID</t>
        </is>
      </c>
      <c r="B5" s="15" t="inlineStr">
        <is>
          <t>Risk Description</t>
        </is>
      </c>
      <c r="C5" s="15" t="inlineStr">
        <is>
          <t>Source</t>
        </is>
      </c>
      <c r="D5" s="15" t="inlineStr">
        <is>
          <t>Gap Type</t>
        </is>
      </c>
      <c r="E5" s="15" t="inlineStr">
        <is>
          <t>Resolution</t>
        </is>
      </c>
      <c r="F5" s="15" t="inlineStr">
        <is>
          <t>Assigned Owner</t>
        </is>
      </c>
      <c r="G5" s="15" t="inlineStr">
        <is>
          <t>Status</t>
        </is>
      </c>
    </row>
    <row r="6">
      <c r="A6" s="17" t="inlineStr"/>
      <c r="B6" s="17" t="inlineStr"/>
      <c r="C6" s="16" t="inlineStr">
        <is>
          <t>Top-Down</t>
        </is>
      </c>
      <c r="D6" s="17" t="inlineStr"/>
      <c r="E6" s="17" t="inlineStr"/>
      <c r="F6" s="17" t="inlineStr"/>
      <c r="G6" s="17" t="inlineStr"/>
    </row>
    <row r="7">
      <c r="A7" s="17" t="inlineStr"/>
      <c r="B7" s="17" t="inlineStr"/>
      <c r="C7" s="16" t="inlineStr">
        <is>
          <t>Top-Down</t>
        </is>
      </c>
      <c r="D7" s="17" t="inlineStr"/>
      <c r="E7" s="17" t="inlineStr"/>
      <c r="F7" s="17" t="inlineStr"/>
      <c r="G7" s="17" t="inlineStr"/>
    </row>
    <row r="8">
      <c r="A8" s="17" t="inlineStr"/>
      <c r="B8" s="17" t="inlineStr"/>
      <c r="C8" s="16" t="inlineStr">
        <is>
          <t>Top-Down</t>
        </is>
      </c>
      <c r="D8" s="17" t="inlineStr"/>
      <c r="E8" s="17" t="inlineStr"/>
      <c r="F8" s="17" t="inlineStr"/>
      <c r="G8" s="17" t="inlineStr"/>
    </row>
    <row r="9">
      <c r="A9" s="17" t="inlineStr"/>
      <c r="B9" s="17" t="inlineStr"/>
      <c r="C9" s="16" t="inlineStr">
        <is>
          <t>Top-Down</t>
        </is>
      </c>
      <c r="D9" s="17" t="inlineStr"/>
      <c r="E9" s="17" t="inlineStr"/>
      <c r="F9" s="17" t="inlineStr"/>
      <c r="G9" s="17" t="inlineStr"/>
    </row>
    <row r="10">
      <c r="A10" s="17" t="inlineStr"/>
      <c r="B10" s="17" t="inlineStr"/>
      <c r="C10" s="16" t="inlineStr">
        <is>
          <t>Top-Down</t>
        </is>
      </c>
      <c r="D10" s="17" t="inlineStr"/>
      <c r="E10" s="17" t="inlineStr"/>
      <c r="F10" s="17" t="inlineStr"/>
      <c r="G10" s="17" t="inlineStr"/>
    </row>
    <row r="11">
      <c r="A11" s="17" t="inlineStr"/>
      <c r="B11" s="17" t="inlineStr"/>
      <c r="C11" s="16" t="inlineStr">
        <is>
          <t>Top-Down</t>
        </is>
      </c>
      <c r="D11" s="17" t="inlineStr"/>
      <c r="E11" s="17" t="inlineStr"/>
      <c r="F11" s="17" t="inlineStr"/>
      <c r="G11" s="17" t="inlineStr"/>
    </row>
    <row r="12">
      <c r="A12" s="17" t="inlineStr"/>
      <c r="B12" s="17" t="inlineStr"/>
      <c r="C12" s="16" t="inlineStr">
        <is>
          <t>Top-Down</t>
        </is>
      </c>
      <c r="D12" s="17" t="inlineStr"/>
      <c r="E12" s="17" t="inlineStr"/>
      <c r="F12" s="17" t="inlineStr"/>
      <c r="G12" s="17" t="inlineStr"/>
    </row>
    <row r="13">
      <c r="A13" s="17" t="inlineStr"/>
      <c r="B13" s="17" t="inlineStr"/>
      <c r="C13" s="16" t="inlineStr">
        <is>
          <t>Top-Down</t>
        </is>
      </c>
      <c r="D13" s="17" t="inlineStr"/>
      <c r="E13" s="17" t="inlineStr"/>
      <c r="F13" s="17" t="inlineStr"/>
      <c r="G13" s="17" t="inlineStr"/>
    </row>
    <row r="14">
      <c r="A14" s="17" t="inlineStr"/>
      <c r="B14" s="17" t="inlineStr"/>
      <c r="C14" s="16" t="inlineStr">
        <is>
          <t>Top-Down</t>
        </is>
      </c>
      <c r="D14" s="17" t="inlineStr"/>
      <c r="E14" s="17" t="inlineStr"/>
      <c r="F14" s="17" t="inlineStr"/>
      <c r="G14" s="17" t="inlineStr"/>
    </row>
    <row r="15">
      <c r="A15" s="17" t="inlineStr"/>
      <c r="B15" s="17" t="inlineStr"/>
      <c r="C15" s="16" t="inlineStr">
        <is>
          <t>Top-Down</t>
        </is>
      </c>
      <c r="D15" s="17" t="inlineStr"/>
      <c r="E15" s="17" t="inlineStr"/>
      <c r="F15" s="17" t="inlineStr"/>
      <c r="G15" s="17" t="inlineStr"/>
    </row>
    <row r="18">
      <c r="A18" s="11" t="inlineStr">
        <is>
          <t>BOTTOM-UP GAPS (risks in submissions not in workshop)</t>
        </is>
      </c>
    </row>
    <row r="19">
      <c r="A19" s="15" t="inlineStr">
        <is>
          <t>Risk ID</t>
        </is>
      </c>
      <c r="B19" s="15" t="inlineStr">
        <is>
          <t>Risk Description</t>
        </is>
      </c>
      <c r="C19" s="15" t="inlineStr">
        <is>
          <t>Business Unit</t>
        </is>
      </c>
      <c r="D19" s="15" t="inlineStr">
        <is>
          <t>Gap Type</t>
        </is>
      </c>
      <c r="E19" s="15" t="inlineStr">
        <is>
          <t>Escalation Required?</t>
        </is>
      </c>
      <c r="F19" s="15" t="inlineStr">
        <is>
          <t>Resolution</t>
        </is>
      </c>
      <c r="G19" s="15" t="inlineStr">
        <is>
          <t>Status</t>
        </is>
      </c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</row>
  </sheetData>
  <dataValidations count="2">
    <dataValidation sqref="G6:G16 G20:G30" showDropDown="0" showInputMessage="0" showErrorMessage="0" allowBlank="1" type="list">
      <formula1>"Open,In Progress,Resolved,Escalated"</formula1>
    </dataValidation>
    <dataValidation sqref="E20:E30" showDropDown="0" showInputMessage="0" showErrorMessage="0" allowBlank="1" type="list">
      <formula1>"Yes - exceeds materiality,Yes - appetite breach,No,Under review"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A7F7F"/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>
      <c r="A1" s="12" t="inlineStr">
        <is>
          <t>Four-Dimensional Risk Scoring Worksheet</t>
        </is>
      </c>
    </row>
    <row r="2">
      <c r="A2" s="13" t="inlineStr">
        <is>
          <t>Book Reference: Chapter 9 — Assessment</t>
        </is>
      </c>
    </row>
    <row r="3">
      <c r="A3" s="14" t="inlineStr">
        <is>
          <t>Score each risk on four dimensions (1-5). Inherent = no controls. Apply control effectiveness to derive residual. See Risk Criteria tab for scale definitions.</t>
        </is>
      </c>
    </row>
    <row r="5">
      <c r="A5" s="15" t="inlineStr">
        <is>
          <t>Risk ID</t>
        </is>
      </c>
      <c r="B5" s="15" t="inlineStr">
        <is>
          <t>Risk Name</t>
        </is>
      </c>
      <c r="C5" s="15" t="inlineStr">
        <is>
          <t>Inh. Impact</t>
        </is>
      </c>
      <c r="D5" s="15" t="inlineStr">
        <is>
          <t>Inh. Likelihood</t>
        </is>
      </c>
      <c r="E5" s="15" t="inlineStr">
        <is>
          <t>Inh. Vulnerability</t>
        </is>
      </c>
      <c r="F5" s="15" t="inlineStr">
        <is>
          <t>Inh. Speed</t>
        </is>
      </c>
      <c r="G5" s="15" t="inlineStr">
        <is>
          <t>Inh. Score</t>
        </is>
      </c>
      <c r="H5" s="15" t="inlineStr">
        <is>
          <t>Ctrl Effect.</t>
        </is>
      </c>
      <c r="I5" s="15" t="inlineStr">
        <is>
          <t>Res. Impact</t>
        </is>
      </c>
      <c r="J5" s="15" t="inlineStr">
        <is>
          <t>Res. Likelihood</t>
        </is>
      </c>
      <c r="K5" s="15" t="inlineStr">
        <is>
          <t>Res. Vulnerability</t>
        </is>
      </c>
      <c r="L5" s="15" t="inlineStr">
        <is>
          <t>Res. Score</t>
        </is>
      </c>
      <c r="M5" s="15" t="inlineStr">
        <is>
          <t>Data Quality</t>
        </is>
      </c>
      <c r="N5" s="15" t="inlineStr">
        <is>
          <t>Material?</t>
        </is>
      </c>
    </row>
    <row r="6">
      <c r="A6" s="22" t="inlineStr">
        <is>
          <t>CR-001</t>
        </is>
      </c>
      <c r="B6" s="22" t="inlineStr">
        <is>
          <t>Counterparty Credit Risk</t>
        </is>
      </c>
      <c r="C6" s="23" t="n">
        <v>4</v>
      </c>
      <c r="D6" s="23" t="n">
        <v>3</v>
      </c>
      <c r="E6" s="23" t="n">
        <v>3</v>
      </c>
      <c r="F6" s="23" t="n">
        <v>4</v>
      </c>
      <c r="G6" s="24">
        <f>AVERAGE(C6:F6)</f>
        <v/>
      </c>
      <c r="H6" s="23" t="n">
        <v>3</v>
      </c>
      <c r="I6" s="23" t="n">
        <v>3</v>
      </c>
      <c r="J6" s="23" t="n">
        <v>2</v>
      </c>
      <c r="K6" s="23" t="n">
        <v>2</v>
      </c>
      <c r="L6" s="24">
        <f>AVERAGE(I6:K6)</f>
        <v/>
      </c>
      <c r="M6" s="22" t="inlineStr">
        <is>
          <t>High</t>
        </is>
      </c>
      <c r="N6" s="22" t="inlineStr">
        <is>
          <t>Yes</t>
        </is>
      </c>
    </row>
    <row r="7">
      <c r="A7" s="25" t="n"/>
      <c r="B7" s="25" t="n"/>
      <c r="C7" s="26" t="n"/>
      <c r="D7" s="26" t="n"/>
      <c r="E7" s="26" t="n"/>
      <c r="F7" s="26" t="n"/>
      <c r="G7" s="27">
        <f>IF(C7="","",AVERAGE(C7:F7))</f>
        <v/>
      </c>
      <c r="H7" s="26" t="n"/>
      <c r="I7" s="26" t="n"/>
      <c r="J7" s="26" t="n"/>
      <c r="K7" s="26" t="n"/>
      <c r="L7" s="27">
        <f>IF(I7="","",AVERAGE(I7:K7))</f>
        <v/>
      </c>
      <c r="M7" s="25" t="n"/>
      <c r="N7" s="25" t="n"/>
    </row>
    <row r="8">
      <c r="A8" s="25" t="n"/>
      <c r="B8" s="25" t="n"/>
      <c r="C8" s="26" t="n"/>
      <c r="D8" s="26" t="n"/>
      <c r="E8" s="26" t="n"/>
      <c r="F8" s="26" t="n"/>
      <c r="G8" s="27">
        <f>IF(C8="","",AVERAGE(C8:F8))</f>
        <v/>
      </c>
      <c r="H8" s="26" t="n"/>
      <c r="I8" s="26" t="n"/>
      <c r="J8" s="26" t="n"/>
      <c r="K8" s="26" t="n"/>
      <c r="L8" s="27">
        <f>IF(I8="","",AVERAGE(I8:K8))</f>
        <v/>
      </c>
      <c r="M8" s="25" t="n"/>
      <c r="N8" s="25" t="n"/>
    </row>
    <row r="9">
      <c r="A9" s="25" t="n"/>
      <c r="B9" s="25" t="n"/>
      <c r="C9" s="26" t="n"/>
      <c r="D9" s="26" t="n"/>
      <c r="E9" s="26" t="n"/>
      <c r="F9" s="26" t="n"/>
      <c r="G9" s="27">
        <f>IF(C9="","",AVERAGE(C9:F9))</f>
        <v/>
      </c>
      <c r="H9" s="26" t="n"/>
      <c r="I9" s="26" t="n"/>
      <c r="J9" s="26" t="n"/>
      <c r="K9" s="26" t="n"/>
      <c r="L9" s="27">
        <f>IF(I9="","",AVERAGE(I9:K9))</f>
        <v/>
      </c>
      <c r="M9" s="25" t="n"/>
      <c r="N9" s="25" t="n"/>
    </row>
    <row r="10">
      <c r="A10" s="25" t="n"/>
      <c r="B10" s="25" t="n"/>
      <c r="C10" s="26" t="n"/>
      <c r="D10" s="26" t="n"/>
      <c r="E10" s="26" t="n"/>
      <c r="F10" s="26" t="n"/>
      <c r="G10" s="27">
        <f>IF(C10="","",AVERAGE(C10:F10))</f>
        <v/>
      </c>
      <c r="H10" s="26" t="n"/>
      <c r="I10" s="26" t="n"/>
      <c r="J10" s="26" t="n"/>
      <c r="K10" s="26" t="n"/>
      <c r="L10" s="27">
        <f>IF(I10="","",AVERAGE(I10:K10))</f>
        <v/>
      </c>
      <c r="M10" s="25" t="n"/>
      <c r="N10" s="25" t="n"/>
    </row>
    <row r="11">
      <c r="A11" s="25" t="n"/>
      <c r="B11" s="25" t="n"/>
      <c r="C11" s="26" t="n"/>
      <c r="D11" s="26" t="n"/>
      <c r="E11" s="26" t="n"/>
      <c r="F11" s="26" t="n"/>
      <c r="G11" s="27">
        <f>IF(C11="","",AVERAGE(C11:F11))</f>
        <v/>
      </c>
      <c r="H11" s="26" t="n"/>
      <c r="I11" s="26" t="n"/>
      <c r="J11" s="26" t="n"/>
      <c r="K11" s="26" t="n"/>
      <c r="L11" s="27">
        <f>IF(I11="","",AVERAGE(I11:K11))</f>
        <v/>
      </c>
      <c r="M11" s="25" t="n"/>
      <c r="N11" s="25" t="n"/>
    </row>
    <row r="12">
      <c r="A12" s="25" t="n"/>
      <c r="B12" s="25" t="n"/>
      <c r="C12" s="26" t="n"/>
      <c r="D12" s="26" t="n"/>
      <c r="E12" s="26" t="n"/>
      <c r="F12" s="26" t="n"/>
      <c r="G12" s="27">
        <f>IF(C12="","",AVERAGE(C12:F12))</f>
        <v/>
      </c>
      <c r="H12" s="26" t="n"/>
      <c r="I12" s="26" t="n"/>
      <c r="J12" s="26" t="n"/>
      <c r="K12" s="26" t="n"/>
      <c r="L12" s="27">
        <f>IF(I12="","",AVERAGE(I12:K12))</f>
        <v/>
      </c>
      <c r="M12" s="25" t="n"/>
      <c r="N12" s="25" t="n"/>
    </row>
    <row r="13">
      <c r="A13" s="25" t="n"/>
      <c r="B13" s="25" t="n"/>
      <c r="C13" s="26" t="n"/>
      <c r="D13" s="26" t="n"/>
      <c r="E13" s="26" t="n"/>
      <c r="F13" s="26" t="n"/>
      <c r="G13" s="27">
        <f>IF(C13="","",AVERAGE(C13:F13))</f>
        <v/>
      </c>
      <c r="H13" s="26" t="n"/>
      <c r="I13" s="26" t="n"/>
      <c r="J13" s="26" t="n"/>
      <c r="K13" s="26" t="n"/>
      <c r="L13" s="27">
        <f>IF(I13="","",AVERAGE(I13:K13))</f>
        <v/>
      </c>
      <c r="M13" s="25" t="n"/>
      <c r="N13" s="25" t="n"/>
    </row>
    <row r="14">
      <c r="A14" s="25" t="n"/>
      <c r="B14" s="25" t="n"/>
      <c r="C14" s="26" t="n"/>
      <c r="D14" s="26" t="n"/>
      <c r="E14" s="26" t="n"/>
      <c r="F14" s="26" t="n"/>
      <c r="G14" s="27">
        <f>IF(C14="","",AVERAGE(C14:F14))</f>
        <v/>
      </c>
      <c r="H14" s="26" t="n"/>
      <c r="I14" s="26" t="n"/>
      <c r="J14" s="26" t="n"/>
      <c r="K14" s="26" t="n"/>
      <c r="L14" s="27">
        <f>IF(I14="","",AVERAGE(I14:K14))</f>
        <v/>
      </c>
      <c r="M14" s="25" t="n"/>
      <c r="N14" s="25" t="n"/>
    </row>
    <row r="15">
      <c r="A15" s="25" t="n"/>
      <c r="B15" s="25" t="n"/>
      <c r="C15" s="26" t="n"/>
      <c r="D15" s="26" t="n"/>
      <c r="E15" s="26" t="n"/>
      <c r="F15" s="26" t="n"/>
      <c r="G15" s="27">
        <f>IF(C15="","",AVERAGE(C15:F15))</f>
        <v/>
      </c>
      <c r="H15" s="26" t="n"/>
      <c r="I15" s="26" t="n"/>
      <c r="J15" s="26" t="n"/>
      <c r="K15" s="26" t="n"/>
      <c r="L15" s="27">
        <f>IF(I15="","",AVERAGE(I15:K15))</f>
        <v/>
      </c>
      <c r="M15" s="25" t="n"/>
      <c r="N15" s="25" t="n"/>
    </row>
    <row r="16">
      <c r="A16" s="25" t="n"/>
      <c r="B16" s="25" t="n"/>
      <c r="C16" s="26" t="n"/>
      <c r="D16" s="26" t="n"/>
      <c r="E16" s="26" t="n"/>
      <c r="F16" s="26" t="n"/>
      <c r="G16" s="27">
        <f>IF(C16="","",AVERAGE(C16:F16))</f>
        <v/>
      </c>
      <c r="H16" s="26" t="n"/>
      <c r="I16" s="26" t="n"/>
      <c r="J16" s="26" t="n"/>
      <c r="K16" s="26" t="n"/>
      <c r="L16" s="27">
        <f>IF(I16="","",AVERAGE(I16:K16))</f>
        <v/>
      </c>
      <c r="M16" s="25" t="n"/>
      <c r="N16" s="25" t="n"/>
    </row>
    <row r="17">
      <c r="A17" s="25" t="n"/>
      <c r="B17" s="25" t="n"/>
      <c r="C17" s="26" t="n"/>
      <c r="D17" s="26" t="n"/>
      <c r="E17" s="26" t="n"/>
      <c r="F17" s="26" t="n"/>
      <c r="G17" s="27">
        <f>IF(C17="","",AVERAGE(C17:F17))</f>
        <v/>
      </c>
      <c r="H17" s="26" t="n"/>
      <c r="I17" s="26" t="n"/>
      <c r="J17" s="26" t="n"/>
      <c r="K17" s="26" t="n"/>
      <c r="L17" s="27">
        <f>IF(I17="","",AVERAGE(I17:K17))</f>
        <v/>
      </c>
      <c r="M17" s="25" t="n"/>
      <c r="N17" s="25" t="n"/>
    </row>
    <row r="18">
      <c r="A18" s="25" t="n"/>
      <c r="B18" s="25" t="n"/>
      <c r="C18" s="26" t="n"/>
      <c r="D18" s="26" t="n"/>
      <c r="E18" s="26" t="n"/>
      <c r="F18" s="26" t="n"/>
      <c r="G18" s="27">
        <f>IF(C18="","",AVERAGE(C18:F18))</f>
        <v/>
      </c>
      <c r="H18" s="26" t="n"/>
      <c r="I18" s="26" t="n"/>
      <c r="J18" s="26" t="n"/>
      <c r="K18" s="26" t="n"/>
      <c r="L18" s="27">
        <f>IF(I18="","",AVERAGE(I18:K18))</f>
        <v/>
      </c>
      <c r="M18" s="25" t="n"/>
      <c r="N18" s="25" t="n"/>
    </row>
    <row r="19">
      <c r="A19" s="25" t="n"/>
      <c r="B19" s="25" t="n"/>
      <c r="C19" s="26" t="n"/>
      <c r="D19" s="26" t="n"/>
      <c r="E19" s="26" t="n"/>
      <c r="F19" s="26" t="n"/>
      <c r="G19" s="27">
        <f>IF(C19="","",AVERAGE(C19:F19))</f>
        <v/>
      </c>
      <c r="H19" s="26" t="n"/>
      <c r="I19" s="26" t="n"/>
      <c r="J19" s="26" t="n"/>
      <c r="K19" s="26" t="n"/>
      <c r="L19" s="27">
        <f>IF(I19="","",AVERAGE(I19:K19))</f>
        <v/>
      </c>
      <c r="M19" s="25" t="n"/>
      <c r="N19" s="25" t="n"/>
    </row>
    <row r="20">
      <c r="A20" s="25" t="n"/>
      <c r="B20" s="25" t="n"/>
      <c r="C20" s="26" t="n"/>
      <c r="D20" s="26" t="n"/>
      <c r="E20" s="26" t="n"/>
      <c r="F20" s="26" t="n"/>
      <c r="G20" s="27">
        <f>IF(C20="","",AVERAGE(C20:F20))</f>
        <v/>
      </c>
      <c r="H20" s="26" t="n"/>
      <c r="I20" s="26" t="n"/>
      <c r="J20" s="26" t="n"/>
      <c r="K20" s="26" t="n"/>
      <c r="L20" s="27">
        <f>IF(I20="","",AVERAGE(I20:K20))</f>
        <v/>
      </c>
      <c r="M20" s="25" t="n"/>
      <c r="N20" s="25" t="n"/>
    </row>
    <row r="21">
      <c r="A21" s="25" t="n"/>
      <c r="B21" s="25" t="n"/>
      <c r="C21" s="26" t="n"/>
      <c r="D21" s="26" t="n"/>
      <c r="E21" s="26" t="n"/>
      <c r="F21" s="26" t="n"/>
      <c r="G21" s="27">
        <f>IF(C21="","",AVERAGE(C21:F21))</f>
        <v/>
      </c>
      <c r="H21" s="26" t="n"/>
      <c r="I21" s="26" t="n"/>
      <c r="J21" s="26" t="n"/>
      <c r="K21" s="26" t="n"/>
      <c r="L21" s="27">
        <f>IF(I21="","",AVERAGE(I21:K21))</f>
        <v/>
      </c>
      <c r="M21" s="25" t="n"/>
      <c r="N21" s="25" t="n"/>
    </row>
    <row r="22">
      <c r="A22" s="25" t="n"/>
      <c r="B22" s="25" t="n"/>
      <c r="C22" s="26" t="n"/>
      <c r="D22" s="26" t="n"/>
      <c r="E22" s="26" t="n"/>
      <c r="F22" s="26" t="n"/>
      <c r="G22" s="27">
        <f>IF(C22="","",AVERAGE(C22:F22))</f>
        <v/>
      </c>
      <c r="H22" s="26" t="n"/>
      <c r="I22" s="26" t="n"/>
      <c r="J22" s="26" t="n"/>
      <c r="K22" s="26" t="n"/>
      <c r="L22" s="27">
        <f>IF(I22="","",AVERAGE(I22:K22))</f>
        <v/>
      </c>
      <c r="M22" s="25" t="n"/>
      <c r="N22" s="25" t="n"/>
    </row>
    <row r="23">
      <c r="A23" s="25" t="n"/>
      <c r="B23" s="25" t="n"/>
      <c r="C23" s="26" t="n"/>
      <c r="D23" s="26" t="n"/>
      <c r="E23" s="26" t="n"/>
      <c r="F23" s="26" t="n"/>
      <c r="G23" s="27">
        <f>IF(C23="","",AVERAGE(C23:F23))</f>
        <v/>
      </c>
      <c r="H23" s="26" t="n"/>
      <c r="I23" s="26" t="n"/>
      <c r="J23" s="26" t="n"/>
      <c r="K23" s="26" t="n"/>
      <c r="L23" s="27">
        <f>IF(I23="","",AVERAGE(I23:K23))</f>
        <v/>
      </c>
      <c r="M23" s="25" t="n"/>
      <c r="N23" s="25" t="n"/>
    </row>
    <row r="24">
      <c r="A24" s="25" t="n"/>
      <c r="B24" s="25" t="n"/>
      <c r="C24" s="26" t="n"/>
      <c r="D24" s="26" t="n"/>
      <c r="E24" s="26" t="n"/>
      <c r="F24" s="26" t="n"/>
      <c r="G24" s="27">
        <f>IF(C24="","",AVERAGE(C24:F24))</f>
        <v/>
      </c>
      <c r="H24" s="26" t="n"/>
      <c r="I24" s="26" t="n"/>
      <c r="J24" s="26" t="n"/>
      <c r="K24" s="26" t="n"/>
      <c r="L24" s="27">
        <f>IF(I24="","",AVERAGE(I24:K24))</f>
        <v/>
      </c>
      <c r="M24" s="25" t="n"/>
      <c r="N24" s="25" t="n"/>
    </row>
    <row r="25">
      <c r="A25" s="25" t="n"/>
      <c r="B25" s="25" t="n"/>
      <c r="C25" s="26" t="n"/>
      <c r="D25" s="26" t="n"/>
      <c r="E25" s="26" t="n"/>
      <c r="F25" s="26" t="n"/>
      <c r="G25" s="27">
        <f>IF(C25="","",AVERAGE(C25:F25))</f>
        <v/>
      </c>
      <c r="H25" s="26" t="n"/>
      <c r="I25" s="26" t="n"/>
      <c r="J25" s="26" t="n"/>
      <c r="K25" s="26" t="n"/>
      <c r="L25" s="27">
        <f>IF(I25="","",AVERAGE(I25:K25))</f>
        <v/>
      </c>
      <c r="M25" s="25" t="n"/>
      <c r="N25" s="25" t="n"/>
    </row>
    <row r="26">
      <c r="A26" s="25" t="n"/>
      <c r="B26" s="25" t="n"/>
      <c r="C26" s="26" t="n"/>
      <c r="D26" s="26" t="n"/>
      <c r="E26" s="26" t="n"/>
      <c r="F26" s="26" t="n"/>
      <c r="G26" s="27">
        <f>IF(C26="","",AVERAGE(C26:F26))</f>
        <v/>
      </c>
      <c r="H26" s="26" t="n"/>
      <c r="I26" s="26" t="n"/>
      <c r="J26" s="26" t="n"/>
      <c r="K26" s="26" t="n"/>
      <c r="L26" s="27">
        <f>IF(I26="","",AVERAGE(I26:K26))</f>
        <v/>
      </c>
      <c r="M26" s="25" t="n"/>
      <c r="N26" s="25" t="n"/>
    </row>
    <row r="27">
      <c r="A27" s="25" t="n"/>
      <c r="B27" s="25" t="n"/>
      <c r="C27" s="26" t="n"/>
      <c r="D27" s="26" t="n"/>
      <c r="E27" s="26" t="n"/>
      <c r="F27" s="26" t="n"/>
      <c r="G27" s="27">
        <f>IF(C27="","",AVERAGE(C27:F27))</f>
        <v/>
      </c>
      <c r="H27" s="26" t="n"/>
      <c r="I27" s="26" t="n"/>
      <c r="J27" s="26" t="n"/>
      <c r="K27" s="26" t="n"/>
      <c r="L27" s="27">
        <f>IF(I27="","",AVERAGE(I27:K27))</f>
        <v/>
      </c>
      <c r="M27" s="25" t="n"/>
      <c r="N27" s="25" t="n"/>
    </row>
    <row r="28">
      <c r="A28" s="25" t="n"/>
      <c r="B28" s="25" t="n"/>
      <c r="C28" s="26" t="n"/>
      <c r="D28" s="26" t="n"/>
      <c r="E28" s="26" t="n"/>
      <c r="F28" s="26" t="n"/>
      <c r="G28" s="27">
        <f>IF(C28="","",AVERAGE(C28:F28))</f>
        <v/>
      </c>
      <c r="H28" s="26" t="n"/>
      <c r="I28" s="26" t="n"/>
      <c r="J28" s="26" t="n"/>
      <c r="K28" s="26" t="n"/>
      <c r="L28" s="27">
        <f>IF(I28="","",AVERAGE(I28:K28))</f>
        <v/>
      </c>
      <c r="M28" s="25" t="n"/>
      <c r="N28" s="25" t="n"/>
    </row>
    <row r="29">
      <c r="A29" s="25" t="n"/>
      <c r="B29" s="25" t="n"/>
      <c r="C29" s="26" t="n"/>
      <c r="D29" s="26" t="n"/>
      <c r="E29" s="26" t="n"/>
      <c r="F29" s="26" t="n"/>
      <c r="G29" s="27">
        <f>IF(C29="","",AVERAGE(C29:F29))</f>
        <v/>
      </c>
      <c r="H29" s="26" t="n"/>
      <c r="I29" s="26" t="n"/>
      <c r="J29" s="26" t="n"/>
      <c r="K29" s="26" t="n"/>
      <c r="L29" s="27">
        <f>IF(I29="","",AVERAGE(I29:K29))</f>
        <v/>
      </c>
      <c r="M29" s="25" t="n"/>
      <c r="N29" s="25" t="n"/>
    </row>
    <row r="30">
      <c r="A30" s="25" t="n"/>
      <c r="B30" s="25" t="n"/>
      <c r="C30" s="26" t="n"/>
      <c r="D30" s="26" t="n"/>
      <c r="E30" s="26" t="n"/>
      <c r="F30" s="26" t="n"/>
      <c r="G30" s="27">
        <f>IF(C30="","",AVERAGE(C30:F30))</f>
        <v/>
      </c>
      <c r="H30" s="26" t="n"/>
      <c r="I30" s="26" t="n"/>
      <c r="J30" s="26" t="n"/>
      <c r="K30" s="26" t="n"/>
      <c r="L30" s="27">
        <f>IF(I30="","",AVERAGE(I30:K30))</f>
        <v/>
      </c>
      <c r="M30" s="25" t="n"/>
      <c r="N30" s="25" t="n"/>
    </row>
    <row r="31">
      <c r="A31" s="25" t="n"/>
      <c r="B31" s="25" t="n"/>
      <c r="C31" s="26" t="n"/>
      <c r="D31" s="26" t="n"/>
      <c r="E31" s="26" t="n"/>
      <c r="F31" s="26" t="n"/>
      <c r="G31" s="27">
        <f>IF(C31="","",AVERAGE(C31:F31))</f>
        <v/>
      </c>
      <c r="H31" s="26" t="n"/>
      <c r="I31" s="26" t="n"/>
      <c r="J31" s="26" t="n"/>
      <c r="K31" s="26" t="n"/>
      <c r="L31" s="27">
        <f>IF(I31="","",AVERAGE(I31:K31))</f>
        <v/>
      </c>
      <c r="M31" s="25" t="n"/>
      <c r="N31" s="25" t="n"/>
    </row>
    <row r="32">
      <c r="A32" s="25" t="n"/>
      <c r="B32" s="25" t="n"/>
      <c r="C32" s="26" t="n"/>
      <c r="D32" s="26" t="n"/>
      <c r="E32" s="26" t="n"/>
      <c r="F32" s="26" t="n"/>
      <c r="G32" s="27">
        <f>IF(C32="","",AVERAGE(C32:F32))</f>
        <v/>
      </c>
      <c r="H32" s="26" t="n"/>
      <c r="I32" s="26" t="n"/>
      <c r="J32" s="26" t="n"/>
      <c r="K32" s="26" t="n"/>
      <c r="L32" s="27">
        <f>IF(I32="","",AVERAGE(I32:K32))</f>
        <v/>
      </c>
      <c r="M32" s="25" t="n"/>
      <c r="N32" s="25" t="n"/>
    </row>
    <row r="33">
      <c r="A33" s="25" t="n"/>
      <c r="B33" s="25" t="n"/>
      <c r="C33" s="26" t="n"/>
      <c r="D33" s="26" t="n"/>
      <c r="E33" s="26" t="n"/>
      <c r="F33" s="26" t="n"/>
      <c r="G33" s="27">
        <f>IF(C33="","",AVERAGE(C33:F33))</f>
        <v/>
      </c>
      <c r="H33" s="26" t="n"/>
      <c r="I33" s="26" t="n"/>
      <c r="J33" s="26" t="n"/>
      <c r="K33" s="26" t="n"/>
      <c r="L33" s="27">
        <f>IF(I33="","",AVERAGE(I33:K33))</f>
        <v/>
      </c>
      <c r="M33" s="25" t="n"/>
      <c r="N33" s="25" t="n"/>
    </row>
    <row r="34">
      <c r="A34" s="25" t="n"/>
      <c r="B34" s="25" t="n"/>
      <c r="C34" s="26" t="n"/>
      <c r="D34" s="26" t="n"/>
      <c r="E34" s="26" t="n"/>
      <c r="F34" s="26" t="n"/>
      <c r="G34" s="27">
        <f>IF(C34="","",AVERAGE(C34:F34))</f>
        <v/>
      </c>
      <c r="H34" s="26" t="n"/>
      <c r="I34" s="26" t="n"/>
      <c r="J34" s="26" t="n"/>
      <c r="K34" s="26" t="n"/>
      <c r="L34" s="27">
        <f>IF(I34="","",AVERAGE(I34:K34))</f>
        <v/>
      </c>
      <c r="M34" s="25" t="n"/>
      <c r="N34" s="25" t="n"/>
    </row>
    <row r="35">
      <c r="A35" s="25" t="n"/>
      <c r="B35" s="25" t="n"/>
      <c r="C35" s="26" t="n"/>
      <c r="D35" s="26" t="n"/>
      <c r="E35" s="26" t="n"/>
      <c r="F35" s="26" t="n"/>
      <c r="G35" s="27">
        <f>IF(C35="","",AVERAGE(C35:F35))</f>
        <v/>
      </c>
      <c r="H35" s="26" t="n"/>
      <c r="I35" s="26" t="n"/>
      <c r="J35" s="26" t="n"/>
      <c r="K35" s="26" t="n"/>
      <c r="L35" s="27">
        <f>IF(I35="","",AVERAGE(I35:K35))</f>
        <v/>
      </c>
      <c r="M35" s="25" t="n"/>
      <c r="N35" s="25" t="n"/>
    </row>
    <row r="36">
      <c r="A36" s="25" t="n"/>
      <c r="B36" s="25" t="n"/>
      <c r="C36" s="26" t="n"/>
      <c r="D36" s="26" t="n"/>
      <c r="E36" s="26" t="n"/>
      <c r="F36" s="26" t="n"/>
      <c r="G36" s="27">
        <f>IF(C36="","",AVERAGE(C36:F36))</f>
        <v/>
      </c>
      <c r="H36" s="26" t="n"/>
      <c r="I36" s="26" t="n"/>
      <c r="J36" s="26" t="n"/>
      <c r="K36" s="26" t="n"/>
      <c r="L36" s="27">
        <f>IF(I36="","",AVERAGE(I36:K36))</f>
        <v/>
      </c>
      <c r="M36" s="25" t="n"/>
      <c r="N36" s="25" t="n"/>
    </row>
    <row r="37">
      <c r="A37" s="25" t="n"/>
      <c r="B37" s="25" t="n"/>
      <c r="C37" s="26" t="n"/>
      <c r="D37" s="26" t="n"/>
      <c r="E37" s="26" t="n"/>
      <c r="F37" s="26" t="n"/>
      <c r="G37" s="27">
        <f>IF(C37="","",AVERAGE(C37:F37))</f>
        <v/>
      </c>
      <c r="H37" s="26" t="n"/>
      <c r="I37" s="26" t="n"/>
      <c r="J37" s="26" t="n"/>
      <c r="K37" s="26" t="n"/>
      <c r="L37" s="27">
        <f>IF(I37="","",AVERAGE(I37:K37))</f>
        <v/>
      </c>
      <c r="M37" s="25" t="n"/>
      <c r="N37" s="25" t="n"/>
    </row>
    <row r="38">
      <c r="A38" s="25" t="n"/>
      <c r="B38" s="25" t="n"/>
      <c r="C38" s="26" t="n"/>
      <c r="D38" s="26" t="n"/>
      <c r="E38" s="26" t="n"/>
      <c r="F38" s="26" t="n"/>
      <c r="G38" s="27">
        <f>IF(C38="","",AVERAGE(C38:F38))</f>
        <v/>
      </c>
      <c r="H38" s="26" t="n"/>
      <c r="I38" s="26" t="n"/>
      <c r="J38" s="26" t="n"/>
      <c r="K38" s="26" t="n"/>
      <c r="L38" s="27">
        <f>IF(I38="","",AVERAGE(I38:K38))</f>
        <v/>
      </c>
      <c r="M38" s="25" t="n"/>
      <c r="N38" s="25" t="n"/>
    </row>
    <row r="39">
      <c r="A39" s="25" t="n"/>
      <c r="B39" s="25" t="n"/>
      <c r="C39" s="26" t="n"/>
      <c r="D39" s="26" t="n"/>
      <c r="E39" s="26" t="n"/>
      <c r="F39" s="26" t="n"/>
      <c r="G39" s="27">
        <f>IF(C39="","",AVERAGE(C39:F39))</f>
        <v/>
      </c>
      <c r="H39" s="26" t="n"/>
      <c r="I39" s="26" t="n"/>
      <c r="J39" s="26" t="n"/>
      <c r="K39" s="26" t="n"/>
      <c r="L39" s="27">
        <f>IF(I39="","",AVERAGE(I39:K39))</f>
        <v/>
      </c>
      <c r="M39" s="25" t="n"/>
      <c r="N39" s="25" t="n"/>
    </row>
    <row r="40">
      <c r="A40" s="25" t="n"/>
      <c r="B40" s="25" t="n"/>
      <c r="C40" s="26" t="n"/>
      <c r="D40" s="26" t="n"/>
      <c r="E40" s="26" t="n"/>
      <c r="F40" s="26" t="n"/>
      <c r="G40" s="27">
        <f>IF(C40="","",AVERAGE(C40:F40))</f>
        <v/>
      </c>
      <c r="H40" s="26" t="n"/>
      <c r="I40" s="26" t="n"/>
      <c r="J40" s="26" t="n"/>
      <c r="K40" s="26" t="n"/>
      <c r="L40" s="27">
        <f>IF(I40="","",AVERAGE(I40:K40))</f>
        <v/>
      </c>
      <c r="M40" s="25" t="n"/>
      <c r="N40" s="25" t="n"/>
    </row>
    <row r="41">
      <c r="A41" s="25" t="n"/>
      <c r="B41" s="25" t="n"/>
      <c r="C41" s="26" t="n"/>
      <c r="D41" s="26" t="n"/>
      <c r="E41" s="26" t="n"/>
      <c r="F41" s="26" t="n"/>
      <c r="G41" s="27">
        <f>IF(C41="","",AVERAGE(C41:F41))</f>
        <v/>
      </c>
      <c r="H41" s="26" t="n"/>
      <c r="I41" s="26" t="n"/>
      <c r="J41" s="26" t="n"/>
      <c r="K41" s="26" t="n"/>
      <c r="L41" s="27">
        <f>IF(I41="","",AVERAGE(I41:K41))</f>
        <v/>
      </c>
      <c r="M41" s="25" t="n"/>
      <c r="N41" s="25" t="n"/>
    </row>
    <row r="42">
      <c r="A42" s="25" t="n"/>
      <c r="B42" s="25" t="n"/>
      <c r="C42" s="26" t="n"/>
      <c r="D42" s="26" t="n"/>
      <c r="E42" s="26" t="n"/>
      <c r="F42" s="26" t="n"/>
      <c r="G42" s="27">
        <f>IF(C42="","",AVERAGE(C42:F42))</f>
        <v/>
      </c>
      <c r="H42" s="26" t="n"/>
      <c r="I42" s="26" t="n"/>
      <c r="J42" s="26" t="n"/>
      <c r="K42" s="26" t="n"/>
      <c r="L42" s="27">
        <f>IF(I42="","",AVERAGE(I42:K42))</f>
        <v/>
      </c>
      <c r="M42" s="25" t="n"/>
      <c r="N42" s="25" t="n"/>
    </row>
    <row r="43">
      <c r="A43" s="25" t="n"/>
      <c r="B43" s="25" t="n"/>
      <c r="C43" s="26" t="n"/>
      <c r="D43" s="26" t="n"/>
      <c r="E43" s="26" t="n"/>
      <c r="F43" s="26" t="n"/>
      <c r="G43" s="27">
        <f>IF(C43="","",AVERAGE(C43:F43))</f>
        <v/>
      </c>
      <c r="H43" s="26" t="n"/>
      <c r="I43" s="26" t="n"/>
      <c r="J43" s="26" t="n"/>
      <c r="K43" s="26" t="n"/>
      <c r="L43" s="27">
        <f>IF(I43="","",AVERAGE(I43:K43))</f>
        <v/>
      </c>
      <c r="M43" s="25" t="n"/>
      <c r="N43" s="25" t="n"/>
    </row>
    <row r="44">
      <c r="A44" s="25" t="n"/>
      <c r="B44" s="25" t="n"/>
      <c r="C44" s="26" t="n"/>
      <c r="D44" s="26" t="n"/>
      <c r="E44" s="26" t="n"/>
      <c r="F44" s="26" t="n"/>
      <c r="G44" s="27">
        <f>IF(C44="","",AVERAGE(C44:F44))</f>
        <v/>
      </c>
      <c r="H44" s="26" t="n"/>
      <c r="I44" s="26" t="n"/>
      <c r="J44" s="26" t="n"/>
      <c r="K44" s="26" t="n"/>
      <c r="L44" s="27">
        <f>IF(I44="","",AVERAGE(I44:K44))</f>
        <v/>
      </c>
      <c r="M44" s="25" t="n"/>
      <c r="N44" s="25" t="n"/>
    </row>
    <row r="45">
      <c r="A45" s="25" t="n"/>
      <c r="B45" s="25" t="n"/>
      <c r="C45" s="26" t="n"/>
      <c r="D45" s="26" t="n"/>
      <c r="E45" s="26" t="n"/>
      <c r="F45" s="26" t="n"/>
      <c r="G45" s="27">
        <f>IF(C45="","",AVERAGE(C45:F45))</f>
        <v/>
      </c>
      <c r="H45" s="26" t="n"/>
      <c r="I45" s="26" t="n"/>
      <c r="J45" s="26" t="n"/>
      <c r="K45" s="26" t="n"/>
      <c r="L45" s="27">
        <f>IF(I45="","",AVERAGE(I45:K45))</f>
        <v/>
      </c>
      <c r="M45" s="25" t="n"/>
      <c r="N45" s="25" t="n"/>
    </row>
    <row r="46">
      <c r="A46" s="25" t="n"/>
      <c r="B46" s="25" t="n"/>
      <c r="C46" s="26" t="n"/>
      <c r="D46" s="26" t="n"/>
      <c r="E46" s="26" t="n"/>
      <c r="F46" s="26" t="n"/>
      <c r="G46" s="27">
        <f>IF(C46="","",AVERAGE(C46:F46))</f>
        <v/>
      </c>
      <c r="H46" s="26" t="n"/>
      <c r="I46" s="26" t="n"/>
      <c r="J46" s="26" t="n"/>
      <c r="K46" s="26" t="n"/>
      <c r="L46" s="27">
        <f>IF(I46="","",AVERAGE(I46:K46))</f>
        <v/>
      </c>
      <c r="M46" s="25" t="n"/>
      <c r="N46" s="25" t="n"/>
    </row>
    <row r="47">
      <c r="A47" s="25" t="n"/>
      <c r="B47" s="25" t="n"/>
      <c r="C47" s="26" t="n"/>
      <c r="D47" s="26" t="n"/>
      <c r="E47" s="26" t="n"/>
      <c r="F47" s="26" t="n"/>
      <c r="G47" s="27">
        <f>IF(C47="","",AVERAGE(C47:F47))</f>
        <v/>
      </c>
      <c r="H47" s="26" t="n"/>
      <c r="I47" s="26" t="n"/>
      <c r="J47" s="26" t="n"/>
      <c r="K47" s="26" t="n"/>
      <c r="L47" s="27">
        <f>IF(I47="","",AVERAGE(I47:K47))</f>
        <v/>
      </c>
      <c r="M47" s="25" t="n"/>
      <c r="N47" s="25" t="n"/>
    </row>
    <row r="48">
      <c r="A48" s="25" t="n"/>
      <c r="B48" s="25" t="n"/>
      <c r="C48" s="26" t="n"/>
      <c r="D48" s="26" t="n"/>
      <c r="E48" s="26" t="n"/>
      <c r="F48" s="26" t="n"/>
      <c r="G48" s="27">
        <f>IF(C48="","",AVERAGE(C48:F48))</f>
        <v/>
      </c>
      <c r="H48" s="26" t="n"/>
      <c r="I48" s="26" t="n"/>
      <c r="J48" s="26" t="n"/>
      <c r="K48" s="26" t="n"/>
      <c r="L48" s="27">
        <f>IF(I48="","",AVERAGE(I48:K48))</f>
        <v/>
      </c>
      <c r="M48" s="25" t="n"/>
      <c r="N48" s="25" t="n"/>
    </row>
    <row r="49">
      <c r="A49" s="25" t="n"/>
      <c r="B49" s="25" t="n"/>
      <c r="C49" s="26" t="n"/>
      <c r="D49" s="26" t="n"/>
      <c r="E49" s="26" t="n"/>
      <c r="F49" s="26" t="n"/>
      <c r="G49" s="27">
        <f>IF(C49="","",AVERAGE(C49:F49))</f>
        <v/>
      </c>
      <c r="H49" s="26" t="n"/>
      <c r="I49" s="26" t="n"/>
      <c r="J49" s="26" t="n"/>
      <c r="K49" s="26" t="n"/>
      <c r="L49" s="27">
        <f>IF(I49="","",AVERAGE(I49:K49))</f>
        <v/>
      </c>
      <c r="M49" s="25" t="n"/>
      <c r="N49" s="25" t="n"/>
    </row>
  </sheetData>
  <dataValidations count="3">
    <dataValidation sqref="C6:C200 D6:D200 E6:E200 F6:F200 H6:H200 I6:I200 J6:J200 K6:K200" showDropDown="0" showInputMessage="0" showErrorMessage="0" allowBlank="1" type="list">
      <formula1>"1,2,3,4,5"</formula1>
    </dataValidation>
    <dataValidation sqref="M6:M200" showDropDown="0" showInputMessage="0" showErrorMessage="0" allowBlank="1" type="list">
      <formula1>"High,Medium,Low,Very Low"</formula1>
    </dataValidation>
    <dataValidation sqref="N6:N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A7F7F"/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2" t="inlineStr">
        <is>
          <t>Risk Interaction Matrix</t>
        </is>
      </c>
    </row>
    <row r="2">
      <c r="A2" s="13" t="inlineStr">
        <is>
          <t>Book Reference: Chapter 10 — Risk Interaction</t>
        </is>
      </c>
    </row>
    <row r="3">
      <c r="A3" s="14" t="inlineStr">
        <is>
          <t>Mark relationships: T=Trigger, A=Amplifier, C=Correlation, blank=no relationship. Read row→column: 'Row risk [relationship] Column risk'.</t>
        </is>
      </c>
    </row>
    <row r="5">
      <c r="A5" s="15" t="inlineStr">
        <is>
          <t>Risk ↓  affects  Risk →</t>
        </is>
      </c>
      <c r="B5" s="15" t="inlineStr">
        <is>
          <t>Credit Risk</t>
        </is>
      </c>
      <c r="C5" s="15" t="inlineStr">
        <is>
          <t>Market Risk</t>
        </is>
      </c>
      <c r="D5" s="15" t="inlineStr">
        <is>
          <t>Liquidity Risk</t>
        </is>
      </c>
      <c r="E5" s="15" t="inlineStr">
        <is>
          <t>Operational Risk</t>
        </is>
      </c>
      <c r="F5" s="15" t="inlineStr">
        <is>
          <t>Conduct Risk</t>
        </is>
      </c>
      <c r="G5" s="15" t="inlineStr">
        <is>
          <t>Strategic Risk</t>
        </is>
      </c>
      <c r="H5" s="15" t="inlineStr">
        <is>
          <t>Technology Risk</t>
        </is>
      </c>
      <c r="I5" s="15" t="inlineStr">
        <is>
          <t>Reputational Risk</t>
        </is>
      </c>
      <c r="J5" s="15" t="inlineStr">
        <is>
          <t>Climate Risk</t>
        </is>
      </c>
      <c r="K5" s="15" t="inlineStr">
        <is>
          <t>Compliance Risk</t>
        </is>
      </c>
      <c r="L5" s="15" t="inlineStr">
        <is>
          <t>Model Risk</t>
        </is>
      </c>
      <c r="M5" s="15" t="inlineStr">
        <is>
          <t>Third-Party Risk</t>
        </is>
      </c>
      <c r="N5" s="15" t="inlineStr">
        <is>
          <t>Country Risk</t>
        </is>
      </c>
      <c r="O5" s="15" t="inlineStr">
        <is>
          <t>Capital Risk</t>
        </is>
      </c>
      <c r="P5" s="15" t="inlineStr">
        <is>
          <t>Legal Risk</t>
        </is>
      </c>
    </row>
    <row r="6">
      <c r="A6" s="28" t="inlineStr">
        <is>
          <t>Credit Risk</t>
        </is>
      </c>
      <c r="B6" s="27" t="inlineStr">
        <is>
          <t>—</t>
        </is>
      </c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>
      <c r="A7" s="28" t="inlineStr">
        <is>
          <t>Market Risk</t>
        </is>
      </c>
      <c r="B7" s="26" t="n"/>
      <c r="C7" s="27" t="inlineStr">
        <is>
          <t>—</t>
        </is>
      </c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>
      <c r="A8" s="28" t="inlineStr">
        <is>
          <t>Liquidity Risk</t>
        </is>
      </c>
      <c r="B8" s="26" t="n"/>
      <c r="C8" s="26" t="n"/>
      <c r="D8" s="27" t="inlineStr">
        <is>
          <t>—</t>
        </is>
      </c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>
      <c r="A9" s="28" t="inlineStr">
        <is>
          <t>Operational Risk</t>
        </is>
      </c>
      <c r="B9" s="26" t="n"/>
      <c r="C9" s="26" t="n"/>
      <c r="D9" s="26" t="n"/>
      <c r="E9" s="27" t="inlineStr">
        <is>
          <t>—</t>
        </is>
      </c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>
      <c r="A10" s="28" t="inlineStr">
        <is>
          <t>Conduct Risk</t>
        </is>
      </c>
      <c r="B10" s="26" t="n"/>
      <c r="C10" s="26" t="n"/>
      <c r="D10" s="26" t="n"/>
      <c r="E10" s="26" t="n"/>
      <c r="F10" s="27" t="inlineStr">
        <is>
          <t>—</t>
        </is>
      </c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>
      <c r="A11" s="28" t="inlineStr">
        <is>
          <t>Strategic Risk</t>
        </is>
      </c>
      <c r="B11" s="26" t="n"/>
      <c r="C11" s="26" t="n"/>
      <c r="D11" s="26" t="n"/>
      <c r="E11" s="26" t="n"/>
      <c r="F11" s="26" t="n"/>
      <c r="G11" s="27" t="inlineStr">
        <is>
          <t>—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>
      <c r="A12" s="28" t="inlineStr">
        <is>
          <t>Technology Risk</t>
        </is>
      </c>
      <c r="B12" s="26" t="n"/>
      <c r="C12" s="26" t="n"/>
      <c r="D12" s="26" t="n"/>
      <c r="E12" s="26" t="n"/>
      <c r="F12" s="26" t="n"/>
      <c r="G12" s="26" t="n"/>
      <c r="H12" s="27" t="inlineStr">
        <is>
          <t>—</t>
        </is>
      </c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>
      <c r="A13" s="28" t="inlineStr">
        <is>
          <t>Reputational Risk</t>
        </is>
      </c>
      <c r="B13" s="26" t="n"/>
      <c r="C13" s="26" t="n"/>
      <c r="D13" s="26" t="n"/>
      <c r="E13" s="26" t="n"/>
      <c r="F13" s="26" t="n"/>
      <c r="G13" s="26" t="n"/>
      <c r="H13" s="26" t="n"/>
      <c r="I13" s="27" t="inlineStr">
        <is>
          <t>—</t>
        </is>
      </c>
      <c r="J13" s="26" t="n"/>
      <c r="K13" s="26" t="n"/>
      <c r="L13" s="26" t="n"/>
      <c r="M13" s="26" t="n"/>
      <c r="N13" s="26" t="n"/>
      <c r="O13" s="26" t="n"/>
      <c r="P13" s="26" t="n"/>
    </row>
    <row r="14">
      <c r="A14" s="28" t="inlineStr">
        <is>
          <t>Climate Risk</t>
        </is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7" t="inlineStr">
        <is>
          <t>—</t>
        </is>
      </c>
      <c r="K14" s="26" t="n"/>
      <c r="L14" s="26" t="n"/>
      <c r="M14" s="26" t="n"/>
      <c r="N14" s="26" t="n"/>
      <c r="O14" s="26" t="n"/>
      <c r="P14" s="26" t="n"/>
    </row>
    <row r="15">
      <c r="A15" s="28" t="inlineStr">
        <is>
          <t>Compliance Risk</t>
        </is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7" t="inlineStr">
        <is>
          <t>—</t>
        </is>
      </c>
      <c r="L15" s="26" t="n"/>
      <c r="M15" s="26" t="n"/>
      <c r="N15" s="26" t="n"/>
      <c r="O15" s="26" t="n"/>
      <c r="P15" s="26" t="n"/>
    </row>
    <row r="16">
      <c r="A16" s="28" t="inlineStr">
        <is>
          <t>Model Risk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7" t="inlineStr">
        <is>
          <t>—</t>
        </is>
      </c>
      <c r="M16" s="26" t="n"/>
      <c r="N16" s="26" t="n"/>
      <c r="O16" s="26" t="n"/>
      <c r="P16" s="26" t="n"/>
    </row>
    <row r="17">
      <c r="A17" s="28" t="inlineStr">
        <is>
          <t>Third-Party Risk</t>
        </is>
      </c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7" t="inlineStr">
        <is>
          <t>—</t>
        </is>
      </c>
      <c r="N17" s="26" t="n"/>
      <c r="O17" s="26" t="n"/>
      <c r="P17" s="26" t="n"/>
    </row>
    <row r="18">
      <c r="A18" s="28" t="inlineStr">
        <is>
          <t>Country Risk</t>
        </is>
      </c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7" t="inlineStr">
        <is>
          <t>—</t>
        </is>
      </c>
      <c r="O18" s="26" t="n"/>
      <c r="P18" s="26" t="n"/>
    </row>
    <row r="19">
      <c r="A19" s="28" t="inlineStr">
        <is>
          <t>Capital Risk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7" t="inlineStr">
        <is>
          <t>—</t>
        </is>
      </c>
      <c r="P19" s="26" t="n"/>
    </row>
    <row r="20">
      <c r="A20" s="28" t="inlineStr">
        <is>
          <t>Legal Risk</t>
        </is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7" t="inlineStr">
        <is>
          <t>—</t>
        </is>
      </c>
    </row>
  </sheetData>
  <dataValidations count="1">
    <dataValidation sqref="B6:P20" showDropDown="0" showInputMessage="0" showErrorMessage="0" allowBlank="1" type="list">
      <formula1>"T,A,C,"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A7F7F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</cols>
  <sheetData>
    <row r="1">
      <c r="A1" s="12" t="inlineStr">
        <is>
          <t>Bow-Tie Analysis Template</t>
        </is>
      </c>
    </row>
    <row r="2">
      <c r="A2" s="13" t="inlineStr">
        <is>
          <t>Book Reference: Chapter 10 — Visual causal analysis for material risks</t>
        </is>
      </c>
    </row>
    <row r="3">
      <c r="A3" s="21" t="inlineStr">
        <is>
          <t>Risk:</t>
        </is>
      </c>
      <c r="B3" s="20" t="n"/>
      <c r="D3" s="21" t="inlineStr">
        <is>
          <t>Risk Owner:</t>
        </is>
      </c>
      <c r="E3" s="20" t="n"/>
    </row>
    <row r="5">
      <c r="A5" s="15" t="inlineStr">
        <is>
          <t>#</t>
        </is>
      </c>
      <c r="B5" s="15" t="inlineStr">
        <is>
          <t>CAUSES</t>
        </is>
      </c>
      <c r="C5" s="15" t="inlineStr">
        <is>
          <t>PREVENTIVE BARRIERS</t>
        </is>
      </c>
      <c r="D5" s="15" t="inlineStr">
        <is>
          <t>← RISK EVENT →</t>
        </is>
      </c>
      <c r="E5" s="15" t="inlineStr">
        <is>
          <t>MITIGATING BARRIERS</t>
        </is>
      </c>
      <c r="F5" s="15" t="inlineStr">
        <is>
          <t>CONSEQUENCES</t>
        </is>
      </c>
      <c r="G5" s="15" t="inlineStr">
        <is>
          <t>RECOVERY CONTROLS</t>
        </is>
      </c>
    </row>
    <row r="6">
      <c r="A6" s="16" t="n">
        <v>1</v>
      </c>
      <c r="B6" s="17" t="inlineStr"/>
      <c r="C6" s="17" t="inlineStr"/>
      <c r="D6" s="29" t="inlineStr"/>
      <c r="E6" s="17" t="inlineStr"/>
      <c r="F6" s="17" t="inlineStr"/>
      <c r="G6" s="17" t="inlineStr"/>
    </row>
    <row r="7">
      <c r="A7" s="16" t="n">
        <v>2</v>
      </c>
      <c r="B7" s="17" t="inlineStr"/>
      <c r="C7" s="17" t="inlineStr"/>
      <c r="D7" s="29" t="inlineStr"/>
      <c r="E7" s="17" t="inlineStr"/>
      <c r="F7" s="17" t="inlineStr"/>
      <c r="G7" s="17" t="inlineStr"/>
    </row>
    <row r="8">
      <c r="A8" s="16" t="n">
        <v>3</v>
      </c>
      <c r="B8" s="17" t="inlineStr"/>
      <c r="C8" s="17" t="inlineStr"/>
      <c r="D8" s="29" t="inlineStr"/>
      <c r="E8" s="17" t="inlineStr"/>
      <c r="F8" s="17" t="inlineStr"/>
      <c r="G8" s="17" t="inlineStr"/>
    </row>
    <row r="9">
      <c r="A9" s="16" t="n">
        <v>4</v>
      </c>
      <c r="B9" s="17" t="inlineStr"/>
      <c r="C9" s="17" t="inlineStr"/>
      <c r="D9" s="29" t="inlineStr"/>
      <c r="E9" s="17" t="inlineStr"/>
      <c r="F9" s="17" t="inlineStr"/>
      <c r="G9" s="17" t="inlineStr"/>
    </row>
    <row r="10">
      <c r="A10" s="16" t="n">
        <v>5</v>
      </c>
      <c r="B10" s="17" t="inlineStr"/>
      <c r="C10" s="17" t="inlineStr"/>
      <c r="D10" s="29" t="inlineStr"/>
      <c r="E10" s="17" t="inlineStr"/>
      <c r="F10" s="17" t="inlineStr"/>
      <c r="G10" s="17" t="inlineStr"/>
    </row>
    <row r="11">
      <c r="A11" s="16" t="n">
        <v>6</v>
      </c>
      <c r="B11" s="17" t="inlineStr"/>
      <c r="C11" s="17" t="inlineStr"/>
      <c r="D11" s="29" t="inlineStr"/>
      <c r="E11" s="17" t="inlineStr"/>
      <c r="F11" s="17" t="inlineStr"/>
      <c r="G11" s="17" t="inlineStr"/>
    </row>
    <row r="12">
      <c r="A12" s="16" t="n">
        <v>7</v>
      </c>
      <c r="B12" s="17" t="inlineStr"/>
      <c r="C12" s="17" t="inlineStr"/>
      <c r="D12" s="29" t="inlineStr"/>
      <c r="E12" s="17" t="inlineStr"/>
      <c r="F12" s="17" t="inlineStr"/>
      <c r="G12" s="17" t="inlineStr"/>
    </row>
    <row r="13">
      <c r="A13" s="16" t="n">
        <v>8</v>
      </c>
      <c r="B13" s="17" t="inlineStr"/>
      <c r="C13" s="17" t="inlineStr"/>
      <c r="D13" s="29" t="inlineStr"/>
      <c r="E13" s="17" t="inlineStr"/>
      <c r="F13" s="17" t="inlineStr"/>
      <c r="G13" s="17" t="inlineStr"/>
    </row>
    <row r="14">
      <c r="A14" s="16" t="n">
        <v>9</v>
      </c>
      <c r="B14" s="17" t="inlineStr"/>
      <c r="C14" s="17" t="inlineStr"/>
      <c r="D14" s="29" t="inlineStr"/>
      <c r="E14" s="17" t="inlineStr"/>
      <c r="F14" s="17" t="inlineStr"/>
      <c r="G14" s="17" t="inlineStr"/>
    </row>
    <row r="15">
      <c r="A15" s="16" t="n">
        <v>10</v>
      </c>
      <c r="B15" s="17" t="inlineStr"/>
      <c r="C15" s="17" t="inlineStr"/>
      <c r="D15" s="29" t="inlineStr"/>
      <c r="E15" s="17" t="inlineStr"/>
      <c r="F15" s="17" t="inlineStr"/>
      <c r="G15" s="17" t="inlineStr"/>
    </row>
    <row r="18">
      <c r="A18" s="11" t="inlineStr">
        <is>
          <t>ESCALATION FACTORS</t>
        </is>
      </c>
    </row>
    <row r="19">
      <c r="A19" s="15" t="inlineStr">
        <is>
          <t>#</t>
        </is>
      </c>
      <c r="B19" s="15" t="inlineStr">
        <is>
          <t>Barrier Ref</t>
        </is>
      </c>
      <c r="C19" s="15" t="inlineStr">
        <is>
          <t>Escalation Factor</t>
        </is>
      </c>
      <c r="D19" s="15" t="inlineStr">
        <is>
          <t>Escalation Control</t>
        </is>
      </c>
      <c r="E19" s="15" t="inlineStr">
        <is>
          <t>Owner</t>
        </is>
      </c>
      <c r="F19" s="15" t="inlineStr">
        <is>
          <t>Last Tested</t>
        </is>
      </c>
      <c r="G19" s="15" t="inlineStr"/>
    </row>
    <row r="20">
      <c r="A20" s="16" t="n">
        <v>1</v>
      </c>
      <c r="B20" s="17" t="inlineStr"/>
      <c r="C20" s="17" t="inlineStr"/>
      <c r="D20" s="17" t="inlineStr"/>
      <c r="E20" s="17" t="inlineStr"/>
      <c r="F20" s="17" t="inlineStr"/>
      <c r="G20" s="16" t="inlineStr"/>
    </row>
    <row r="21">
      <c r="A21" s="16" t="n">
        <v>2</v>
      </c>
      <c r="B21" s="17" t="inlineStr"/>
      <c r="C21" s="17" t="inlineStr"/>
      <c r="D21" s="17" t="inlineStr"/>
      <c r="E21" s="17" t="inlineStr"/>
      <c r="F21" s="17" t="inlineStr"/>
      <c r="G21" s="16" t="inlineStr"/>
    </row>
    <row r="22">
      <c r="A22" s="16" t="n">
        <v>3</v>
      </c>
      <c r="B22" s="17" t="inlineStr"/>
      <c r="C22" s="17" t="inlineStr"/>
      <c r="D22" s="17" t="inlineStr"/>
      <c r="E22" s="17" t="inlineStr"/>
      <c r="F22" s="17" t="inlineStr"/>
      <c r="G22" s="16" t="inlineStr"/>
    </row>
    <row r="23">
      <c r="A23" s="16" t="n">
        <v>4</v>
      </c>
      <c r="B23" s="17" t="inlineStr"/>
      <c r="C23" s="17" t="inlineStr"/>
      <c r="D23" s="17" t="inlineStr"/>
      <c r="E23" s="17" t="inlineStr"/>
      <c r="F23" s="17" t="inlineStr"/>
      <c r="G23" s="16" t="inlineStr"/>
    </row>
    <row r="24">
      <c r="A24" s="16" t="n">
        <v>5</v>
      </c>
      <c r="B24" s="17" t="inlineStr"/>
      <c r="C24" s="17" t="inlineStr"/>
      <c r="D24" s="17" t="inlineStr"/>
      <c r="E24" s="17" t="inlineStr"/>
      <c r="F24" s="17" t="inlineStr"/>
      <c r="G24" s="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A7F7F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20" customWidth="1" min="4" max="4"/>
    <col width="25" customWidth="1" min="5" max="5"/>
    <col width="20" customWidth="1" min="6" max="6"/>
  </cols>
  <sheetData>
    <row r="1">
      <c r="A1" s="12" t="inlineStr">
        <is>
          <t>Concentration Analysis (Three Types)</t>
        </is>
      </c>
    </row>
    <row r="2">
      <c r="A2" s="13" t="inlineStr">
        <is>
          <t>Book Reference: Chapter 10 — Single-name, Structural, Systemic</t>
        </is>
      </c>
    </row>
    <row r="4">
      <c r="A4" s="11" t="inlineStr">
        <is>
          <t>SINGLE-NAME CONCENTRATIONS</t>
        </is>
      </c>
    </row>
    <row r="5">
      <c r="A5" s="15" t="inlineStr">
        <is>
          <t>Concentration Type</t>
        </is>
      </c>
      <c r="B5" s="15" t="inlineStr">
        <is>
          <t>Description</t>
        </is>
      </c>
      <c r="C5" s="15" t="inlineStr">
        <is>
          <t>Exposure / Metric</t>
        </is>
      </c>
      <c r="D5" s="15" t="inlineStr">
        <is>
          <t>Limit</t>
        </is>
      </c>
      <c r="E5" s="15" t="inlineStr">
        <is>
          <t>Current vs Limit</t>
        </is>
      </c>
      <c r="F5" s="15" t="inlineStr">
        <is>
          <t>Action Required</t>
        </is>
      </c>
    </row>
    <row r="6">
      <c r="A6" s="16" t="inlineStr">
        <is>
          <t>Counterparty</t>
        </is>
      </c>
      <c r="B6" s="17" t="inlineStr"/>
      <c r="C6" s="17" t="inlineStr"/>
      <c r="D6" s="17" t="inlineStr"/>
      <c r="E6" s="17" t="inlineStr"/>
      <c r="F6" s="17" t="inlineStr"/>
    </row>
    <row r="7">
      <c r="A7" s="16" t="inlineStr">
        <is>
          <t>Sector</t>
        </is>
      </c>
      <c r="B7" s="17" t="inlineStr"/>
      <c r="C7" s="17" t="inlineStr"/>
      <c r="D7" s="17" t="inlineStr"/>
      <c r="E7" s="17" t="inlineStr"/>
      <c r="F7" s="17" t="inlineStr"/>
    </row>
    <row r="8">
      <c r="A8" s="16" t="inlineStr">
        <is>
          <t>Geography</t>
        </is>
      </c>
      <c r="B8" s="17" t="inlineStr"/>
      <c r="C8" s="17" t="inlineStr"/>
      <c r="D8" s="17" t="inlineStr"/>
      <c r="E8" s="17" t="inlineStr"/>
      <c r="F8" s="17" t="inlineStr"/>
    </row>
    <row r="9">
      <c r="A9" s="16" t="inlineStr">
        <is>
          <t>Asset Class</t>
        </is>
      </c>
      <c r="B9" s="17" t="inlineStr"/>
      <c r="C9" s="17" t="inlineStr"/>
      <c r="D9" s="17" t="inlineStr"/>
      <c r="E9" s="17" t="inlineStr"/>
      <c r="F9" s="17" t="inlineStr"/>
    </row>
    <row r="10">
      <c r="A10" s="16" t="inlineStr">
        <is>
          <t>Funding Source</t>
        </is>
      </c>
      <c r="B10" s="17" t="inlineStr"/>
      <c r="C10" s="17" t="inlineStr"/>
      <c r="D10" s="17" t="inlineStr"/>
      <c r="E10" s="17" t="inlineStr"/>
      <c r="F10" s="17" t="inlineStr"/>
    </row>
    <row r="13">
      <c r="A13" s="11" t="inlineStr">
        <is>
          <t>STRUCTURAL CONCENTRATIONS</t>
        </is>
      </c>
    </row>
    <row r="14">
      <c r="A14" s="15" t="inlineStr">
        <is>
          <t>Concentration Type</t>
        </is>
      </c>
      <c r="B14" s="15" t="inlineStr">
        <is>
          <t>Description</t>
        </is>
      </c>
      <c r="C14" s="15" t="inlineStr">
        <is>
          <t>Evidence</t>
        </is>
      </c>
      <c r="D14" s="15" t="inlineStr">
        <is>
          <t>Risk Implications</t>
        </is>
      </c>
      <c r="E14" s="15" t="inlineStr">
        <is>
          <t>Mitigants</t>
        </is>
      </c>
      <c r="F14" s="15" t="inlineStr"/>
    </row>
    <row r="15">
      <c r="A15" s="16" t="inlineStr">
        <is>
          <t>Business Model Assumption</t>
        </is>
      </c>
      <c r="B15" s="17" t="inlineStr"/>
      <c r="C15" s="17" t="inlineStr"/>
      <c r="D15" s="17" t="inlineStr"/>
      <c r="E15" s="17" t="inlineStr"/>
      <c r="F15" s="16" t="inlineStr"/>
    </row>
    <row r="16">
      <c r="A16" s="16" t="inlineStr">
        <is>
          <t>Correlation Assumption</t>
        </is>
      </c>
      <c r="B16" s="17" t="inlineStr"/>
      <c r="C16" s="17" t="inlineStr"/>
      <c r="D16" s="17" t="inlineStr"/>
      <c r="E16" s="17" t="inlineStr"/>
      <c r="F16" s="16" t="inlineStr"/>
    </row>
    <row r="17">
      <c r="A17" s="16" t="inlineStr">
        <is>
          <t>Regulatory Interpretation</t>
        </is>
      </c>
      <c r="B17" s="17" t="inlineStr"/>
      <c r="C17" s="17" t="inlineStr"/>
      <c r="D17" s="17" t="inlineStr"/>
      <c r="E17" s="17" t="inlineStr"/>
      <c r="F17" s="16" t="inlineStr"/>
    </row>
    <row r="18">
      <c r="A18" s="16" t="inlineStr">
        <is>
          <t>Technology Dependency</t>
        </is>
      </c>
      <c r="B18" s="17" t="inlineStr"/>
      <c r="C18" s="17" t="inlineStr"/>
      <c r="D18" s="17" t="inlineStr"/>
      <c r="E18" s="17" t="inlineStr"/>
      <c r="F18" s="16" t="inlineStr"/>
    </row>
    <row r="21">
      <c r="A21" s="11" t="inlineStr">
        <is>
          <t>SYSTEMIC CONCENTRATIONS</t>
        </is>
      </c>
    </row>
    <row r="22">
      <c r="A22" s="15" t="inlineStr">
        <is>
          <t>Concentration Type</t>
        </is>
      </c>
      <c r="B22" s="15" t="inlineStr">
        <is>
          <t>Description</t>
        </is>
      </c>
      <c r="C22" s="15" t="inlineStr">
        <is>
          <t>Institution's Exposure</t>
        </is>
      </c>
      <c r="D22" s="15" t="inlineStr">
        <is>
          <t>System-Level Risk</t>
        </is>
      </c>
      <c r="E22" s="15" t="inlineStr">
        <is>
          <t>Diversification Possible?</t>
        </is>
      </c>
      <c r="F22" s="15" t="inlineStr"/>
    </row>
    <row r="23">
      <c r="A23" s="16" t="inlineStr">
        <is>
          <t>Market Infrastructure</t>
        </is>
      </c>
      <c r="B23" s="17" t="inlineStr"/>
      <c r="C23" s="17" t="inlineStr"/>
      <c r="D23" s="17" t="inlineStr"/>
      <c r="E23" s="17" t="inlineStr"/>
      <c r="F23" s="16" t="inlineStr"/>
    </row>
    <row r="24">
      <c r="A24" s="16" t="inlineStr">
        <is>
          <t>Clearing/Settlement</t>
        </is>
      </c>
      <c r="B24" s="17" t="inlineStr"/>
      <c r="C24" s="17" t="inlineStr"/>
      <c r="D24" s="17" t="inlineStr"/>
      <c r="E24" s="17" t="inlineStr"/>
      <c r="F24" s="16" t="inlineStr"/>
    </row>
    <row r="25">
      <c r="A25" s="16" t="inlineStr">
        <is>
          <t>Cloud Provider</t>
        </is>
      </c>
      <c r="B25" s="17" t="inlineStr"/>
      <c r="C25" s="17" t="inlineStr"/>
      <c r="D25" s="17" t="inlineStr"/>
      <c r="E25" s="17" t="inlineStr"/>
      <c r="F25" s="16" t="inlineStr"/>
    </row>
    <row r="26">
      <c r="A26" s="16" t="inlineStr">
        <is>
          <t>Interbank Exposure</t>
        </is>
      </c>
      <c r="B26" s="17" t="inlineStr"/>
      <c r="C26" s="17" t="inlineStr"/>
      <c r="D26" s="17" t="inlineStr"/>
      <c r="E26" s="17" t="inlineStr"/>
      <c r="F26" s="1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66666"/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5" customWidth="1" min="4" max="4"/>
    <col width="18" customWidth="1" min="5" max="5"/>
    <col width="10" customWidth="1" min="6" max="6"/>
    <col width="25" customWidth="1" min="7" max="7"/>
    <col width="10" customWidth="1" min="8" max="8"/>
    <col width="10" customWidth="1" min="9" max="9"/>
    <col width="12" customWidth="1" min="10" max="10"/>
    <col width="20" customWidth="1" min="11" max="11"/>
    <col width="20" customWidth="1" min="12" max="12"/>
    <col width="12" customWidth="1" min="13" max="13"/>
    <col width="14" customWidth="1" min="14" max="14"/>
  </cols>
  <sheetData>
    <row r="1">
      <c r="A1" s="12" t="inlineStr">
        <is>
          <t>Fourteen-Field Risk Inventory</t>
        </is>
      </c>
    </row>
    <row r="2">
      <c r="A2" s="13" t="inlineStr">
        <is>
          <t>Book Reference: Chapter 11 — The master register. All other tabs feed into this.</t>
        </is>
      </c>
    </row>
    <row r="3">
      <c r="A3" s="14" t="inlineStr">
        <is>
          <t>This is the central risk inventory. One row per risk. Material risks (column J = Yes) require a full Risk Profile (Tab 16).</t>
        </is>
      </c>
    </row>
    <row r="5">
      <c r="A5" s="15" t="inlineStr">
        <is>
          <t>Risk ID</t>
        </is>
      </c>
      <c r="B5" s="15" t="inlineStr">
        <is>
          <t>Taxonomy (L1/L2/L3)</t>
        </is>
      </c>
      <c r="C5" s="15" t="inlineStr">
        <is>
          <t>Risk Definition</t>
        </is>
      </c>
      <c r="D5" s="15" t="inlineStr">
        <is>
          <t>COSO Category</t>
        </is>
      </c>
      <c r="E5" s="15" t="inlineStr">
        <is>
          <t>Risk Owner</t>
        </is>
      </c>
      <c r="F5" s="15" t="inlineStr">
        <is>
          <t>Inherent Score</t>
        </is>
      </c>
      <c r="G5" s="15" t="inlineStr">
        <is>
          <t>Key Controls</t>
        </is>
      </c>
      <c r="H5" s="15" t="inlineStr">
        <is>
          <t>Control Effect.</t>
        </is>
      </c>
      <c r="I5" s="15" t="inlineStr">
        <is>
          <t>Residual Score</t>
        </is>
      </c>
      <c r="J5" s="15" t="inlineStr">
        <is>
          <t>Material?</t>
        </is>
      </c>
      <c r="K5" s="15" t="inlineStr">
        <is>
          <t>Data Quality</t>
        </is>
      </c>
      <c r="L5" s="15" t="inlineStr">
        <is>
          <t>Interactions</t>
        </is>
      </c>
      <c r="M5" s="15" t="inlineStr">
        <is>
          <t>Trend</t>
        </is>
      </c>
      <c r="N5" s="15" t="inlineStr">
        <is>
          <t>Next Review Date</t>
        </is>
      </c>
    </row>
    <row r="6">
      <c r="A6" s="16" t="inlineStr">
        <is>
          <t>CR-001</t>
        </is>
      </c>
      <c r="B6" s="16" t="inlineStr">
        <is>
          <t>Credit / Counterparty / Single-Name</t>
        </is>
      </c>
      <c r="C6" s="16" t="inlineStr">
        <is>
          <t>Risk of loss from excessive exposure to a single counterparty</t>
        </is>
      </c>
      <c r="D6" s="16" t="inlineStr">
        <is>
          <t>Operations</t>
        </is>
      </c>
      <c r="E6" s="16" t="inlineStr">
        <is>
          <t>Head of Credit Risk</t>
        </is>
      </c>
      <c r="F6" s="16" t="n">
        <v>3.5</v>
      </c>
      <c r="G6" s="16" t="inlineStr">
        <is>
          <t>Daily margining, credit limits, CVA hedging</t>
        </is>
      </c>
      <c r="H6" s="16" t="n">
        <v>3</v>
      </c>
      <c r="I6" s="16" t="n">
        <v>2.3</v>
      </c>
      <c r="J6" s="16" t="inlineStr">
        <is>
          <t>Yes</t>
        </is>
      </c>
      <c r="K6" s="16" t="inlineStr">
        <is>
          <t>High</t>
        </is>
      </c>
      <c r="L6" s="16" t="inlineStr">
        <is>
          <t>→MR-001(T), →LR-001(A)</t>
        </is>
      </c>
      <c r="M6" s="16" t="inlineStr">
        <is>
          <t>Stable</t>
        </is>
      </c>
      <c r="N6" s="16" t="inlineStr">
        <is>
          <t>2026-06-30</t>
        </is>
      </c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</row>
  </sheetData>
  <dataValidations count="4">
    <dataValidation sqref="D6:D200" showDropDown="0" showInputMessage="0" showErrorMessage="0" allowBlank="1" type="list">
      <formula1>"Strategic,Operations,Reporting,Compliance"</formula1>
    </dataValidation>
    <dataValidation sqref="J6:J200" showDropDown="0" showInputMessage="0" showErrorMessage="0" allowBlank="1" type="list">
      <formula1>"Yes,No"</formula1>
    </dataValidation>
    <dataValidation sqref="K6:K200" showDropDown="0" showInputMessage="0" showErrorMessage="0" allowBlank="1" type="list">
      <formula1>"High,Medium,Low,Very Low"</formula1>
    </dataValidation>
    <dataValidation sqref="M6:M200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66666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2" t="inlineStr">
        <is>
          <t>Risk Profile Template (14 Elements)</t>
        </is>
      </c>
    </row>
    <row r="2">
      <c r="A2" s="13" t="inlineStr">
        <is>
          <t>Book Reference: Chapter 11 — Complete one per material risk</t>
        </is>
      </c>
    </row>
    <row r="3">
      <c r="A3" s="21" t="inlineStr">
        <is>
          <t>Risk ID:</t>
        </is>
      </c>
      <c r="B3" s="20" t="n"/>
    </row>
    <row r="5">
      <c r="A5" s="28" t="inlineStr">
        <is>
          <t>1. Risk Definition</t>
        </is>
      </c>
      <c r="B5" s="30" t="inlineStr">
        <is>
          <t>Plain-language description of what this risk is and its scope</t>
        </is>
      </c>
    </row>
    <row r="6" ht="45" customHeight="1">
      <c r="A6" s="31" t="n"/>
      <c r="B6" s="32" t="n"/>
    </row>
    <row r="7">
      <c r="A7" s="28" t="inlineStr">
        <is>
          <t>2. Taxonomy Classification</t>
        </is>
      </c>
      <c r="B7" s="30" t="inlineStr">
        <is>
          <t>L1 / L2 / L3 classification</t>
        </is>
      </c>
    </row>
    <row r="8" ht="45" customHeight="1">
      <c r="A8" s="31" t="n"/>
      <c r="B8" s="32" t="n"/>
    </row>
    <row r="9">
      <c r="A9" s="28" t="inlineStr">
        <is>
          <t>3. COSO Objective Category</t>
        </is>
      </c>
      <c r="B9" s="30" t="inlineStr">
        <is>
          <t>Strategic / Operations / Reporting / Compliance</t>
        </is>
      </c>
    </row>
    <row r="10" ht="45" customHeight="1">
      <c r="A10" s="31" t="n"/>
      <c r="B10" s="32" t="n"/>
    </row>
    <row r="11">
      <c r="A11" s="28" t="inlineStr">
        <is>
          <t>4. Underlying Drivers</t>
        </is>
      </c>
      <c r="B11" s="30" t="inlineStr">
        <is>
          <t>Direct and indirect drivers (use Ishikawa analysis)</t>
        </is>
      </c>
    </row>
    <row r="12" ht="45" customHeight="1">
      <c r="A12" s="31" t="n"/>
      <c r="B12" s="32" t="n"/>
    </row>
    <row r="13">
      <c r="A13" s="28" t="inlineStr">
        <is>
          <t>5. Current Exposure Metrics</t>
        </is>
      </c>
      <c r="B13" s="30" t="inlineStr">
        <is>
          <t>Dollar exposure, notional amounts, portfolio concentrations, customer counts</t>
        </is>
      </c>
    </row>
    <row r="14" ht="45" customHeight="1">
      <c r="A14" s="31" t="n"/>
      <c r="B14" s="32" t="n"/>
    </row>
    <row r="15">
      <c r="A15" s="28" t="inlineStr">
        <is>
          <t>6. Risk Appetite Position</t>
        </is>
      </c>
      <c r="B15" s="30" t="inlineStr">
        <is>
          <t>Board-approved appetite level and current position against it</t>
        </is>
      </c>
    </row>
    <row r="16" ht="45" customHeight="1">
      <c r="A16" s="31" t="n"/>
      <c r="B16" s="32" t="n"/>
    </row>
    <row r="17">
      <c r="A17" s="28" t="inlineStr">
        <is>
          <t>7. Key Controls</t>
        </is>
      </c>
      <c r="B17" s="30" t="inlineStr">
        <is>
          <t>Preventive and detective controls with type and effectiveness rating</t>
        </is>
      </c>
    </row>
    <row r="18" ht="45" customHeight="1">
      <c r="A18" s="31" t="n"/>
      <c r="B18" s="32" t="n"/>
    </row>
    <row r="19">
      <c r="A19" s="28" t="inlineStr">
        <is>
          <t>8. Cost-Benefit Assessment</t>
        </is>
      </c>
      <c r="B19" s="30" t="inlineStr">
        <is>
          <t>Analysis of control costs vs risk reduction benefit</t>
        </is>
      </c>
    </row>
    <row r="20" ht="45" customHeight="1">
      <c r="A20" s="31" t="n"/>
      <c r="B20" s="32" t="n"/>
    </row>
    <row r="21">
      <c r="A21" s="28" t="inlineStr">
        <is>
          <t>9. Key Risk Indicators</t>
        </is>
      </c>
      <c r="B21" s="30" t="inlineStr">
        <is>
          <t>Leading indicators with current values and G/A/R thresholds</t>
        </is>
      </c>
    </row>
    <row r="22" ht="45" customHeight="1">
      <c r="A22" s="31" t="n"/>
      <c r="B22" s="32" t="n"/>
    </row>
    <row r="23">
      <c r="A23" s="28" t="inlineStr">
        <is>
          <t>10. Scenario Linkage</t>
        </is>
      </c>
      <c r="B23" s="30" t="inlineStr">
        <is>
          <t>Which ICAAP/ILAAP/CCAR stress scenarios map to this risk</t>
        </is>
      </c>
    </row>
    <row r="24" ht="45" customHeight="1">
      <c r="A24" s="31" t="n"/>
      <c r="B24" s="32" t="n"/>
    </row>
    <row r="25">
      <c r="A25" s="28" t="inlineStr">
        <is>
          <t>11. Data Quality Assessment</t>
        </is>
      </c>
      <c r="B25" s="30" t="inlineStr">
        <is>
          <t>Rating (H/M/L/VL) with evidence basis and conservatism adjustment</t>
        </is>
      </c>
    </row>
    <row r="26" ht="45" customHeight="1">
      <c r="A26" s="31" t="n"/>
      <c r="B26" s="32" t="n"/>
    </row>
    <row r="27">
      <c r="A27" s="28" t="inlineStr">
        <is>
          <t>12. Risk Interactions</t>
        </is>
      </c>
      <c r="B27" s="30" t="inlineStr">
        <is>
          <t>Cross-references to correlated, triggering, or amplifying risks</t>
        </is>
      </c>
    </row>
    <row r="28" ht="45" customHeight="1">
      <c r="A28" s="31" t="n"/>
      <c r="B28" s="32" t="n"/>
    </row>
    <row r="29">
      <c r="A29" s="28" t="inlineStr">
        <is>
          <t>13. Trend and Outlook</t>
        </is>
      </c>
      <c r="B29" s="30" t="inlineStr">
        <is>
          <t>Direction of travel and forward-looking assessment</t>
        </is>
      </c>
    </row>
    <row r="30" ht="45" customHeight="1">
      <c r="A30" s="31" t="n"/>
      <c r="B30" s="32" t="n"/>
    </row>
    <row r="31">
      <c r="A31" s="28" t="inlineStr">
        <is>
          <t>14. Risk Owner</t>
        </is>
      </c>
      <c r="B31" s="30" t="inlineStr">
        <is>
          <t>Named individual accountable (not a committee)</t>
        </is>
      </c>
    </row>
    <row r="32" ht="45" customHeight="1">
      <c r="A32" s="31" t="n"/>
      <c r="B32" s="3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66666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2" t="inlineStr">
        <is>
          <t>Key Risk Indicator Dashboard</t>
        </is>
      </c>
    </row>
    <row r="2">
      <c r="A2" s="13" t="inlineStr">
        <is>
          <t>Book Reference: Chapter 11, 13 — Leading indicators with traffic-light thresholds</t>
        </is>
      </c>
    </row>
    <row r="4">
      <c r="A4" s="15" t="inlineStr">
        <is>
          <t>Risk ID</t>
        </is>
      </c>
      <c r="B4" s="15" t="inlineStr">
        <is>
          <t>Risk Name</t>
        </is>
      </c>
      <c r="C4" s="15" t="inlineStr">
        <is>
          <t>KRI Description</t>
        </is>
      </c>
      <c r="D4" s="15" t="inlineStr">
        <is>
          <t>Current Value</t>
        </is>
      </c>
      <c r="E4" s="15" t="inlineStr">
        <is>
          <t>Green ≤</t>
        </is>
      </c>
      <c r="F4" s="15" t="inlineStr">
        <is>
          <t>Amber ≤</t>
        </is>
      </c>
      <c r="G4" s="15" t="inlineStr">
        <is>
          <t>Red &gt;</t>
        </is>
      </c>
      <c r="H4" s="15" t="inlineStr">
        <is>
          <t>Status</t>
        </is>
      </c>
      <c r="I4" s="15" t="inlineStr">
        <is>
          <t>Trend</t>
        </is>
      </c>
    </row>
    <row r="5">
      <c r="A5" s="33" t="n"/>
      <c r="B5" s="33" t="n"/>
      <c r="C5" s="33" t="n"/>
      <c r="D5" s="26" t="n"/>
      <c r="E5" s="26" t="n"/>
      <c r="F5" s="26" t="n"/>
      <c r="G5" s="26" t="n"/>
      <c r="H5" s="25" t="n"/>
      <c r="I5" s="25" t="n"/>
    </row>
    <row r="6">
      <c r="A6" s="33" t="n"/>
      <c r="B6" s="33" t="n"/>
      <c r="C6" s="33" t="n"/>
      <c r="D6" s="26" t="n"/>
      <c r="E6" s="26" t="n"/>
      <c r="F6" s="26" t="n"/>
      <c r="G6" s="26" t="n"/>
      <c r="H6" s="25" t="n"/>
      <c r="I6" s="25" t="n"/>
    </row>
    <row r="7">
      <c r="A7" s="33" t="n"/>
      <c r="B7" s="33" t="n"/>
      <c r="C7" s="33" t="n"/>
      <c r="D7" s="26" t="n"/>
      <c r="E7" s="26" t="n"/>
      <c r="F7" s="26" t="n"/>
      <c r="G7" s="26" t="n"/>
      <c r="H7" s="25" t="n"/>
      <c r="I7" s="25" t="n"/>
    </row>
    <row r="8">
      <c r="A8" s="33" t="n"/>
      <c r="B8" s="33" t="n"/>
      <c r="C8" s="33" t="n"/>
      <c r="D8" s="26" t="n"/>
      <c r="E8" s="26" t="n"/>
      <c r="F8" s="26" t="n"/>
      <c r="G8" s="26" t="n"/>
      <c r="H8" s="25" t="n"/>
      <c r="I8" s="25" t="n"/>
    </row>
    <row r="9">
      <c r="A9" s="33" t="n"/>
      <c r="B9" s="33" t="n"/>
      <c r="C9" s="33" t="n"/>
      <c r="D9" s="26" t="n"/>
      <c r="E9" s="26" t="n"/>
      <c r="F9" s="26" t="n"/>
      <c r="G9" s="26" t="n"/>
      <c r="H9" s="25" t="n"/>
      <c r="I9" s="25" t="n"/>
    </row>
    <row r="10">
      <c r="A10" s="33" t="n"/>
      <c r="B10" s="33" t="n"/>
      <c r="C10" s="33" t="n"/>
      <c r="D10" s="26" t="n"/>
      <c r="E10" s="26" t="n"/>
      <c r="F10" s="26" t="n"/>
      <c r="G10" s="26" t="n"/>
      <c r="H10" s="25" t="n"/>
      <c r="I10" s="25" t="n"/>
    </row>
    <row r="11">
      <c r="A11" s="33" t="n"/>
      <c r="B11" s="33" t="n"/>
      <c r="C11" s="33" t="n"/>
      <c r="D11" s="26" t="n"/>
      <c r="E11" s="26" t="n"/>
      <c r="F11" s="26" t="n"/>
      <c r="G11" s="26" t="n"/>
      <c r="H11" s="25" t="n"/>
      <c r="I11" s="25" t="n"/>
    </row>
    <row r="12">
      <c r="A12" s="33" t="n"/>
      <c r="B12" s="33" t="n"/>
      <c r="C12" s="33" t="n"/>
      <c r="D12" s="26" t="n"/>
      <c r="E12" s="26" t="n"/>
      <c r="F12" s="26" t="n"/>
      <c r="G12" s="26" t="n"/>
      <c r="H12" s="25" t="n"/>
      <c r="I12" s="25" t="n"/>
    </row>
    <row r="13">
      <c r="A13" s="33" t="n"/>
      <c r="B13" s="33" t="n"/>
      <c r="C13" s="33" t="n"/>
      <c r="D13" s="26" t="n"/>
      <c r="E13" s="26" t="n"/>
      <c r="F13" s="26" t="n"/>
      <c r="G13" s="26" t="n"/>
      <c r="H13" s="25" t="n"/>
      <c r="I13" s="25" t="n"/>
    </row>
    <row r="14">
      <c r="A14" s="33" t="n"/>
      <c r="B14" s="33" t="n"/>
      <c r="C14" s="33" t="n"/>
      <c r="D14" s="26" t="n"/>
      <c r="E14" s="26" t="n"/>
      <c r="F14" s="26" t="n"/>
      <c r="G14" s="26" t="n"/>
      <c r="H14" s="25" t="n"/>
      <c r="I14" s="25" t="n"/>
    </row>
    <row r="15">
      <c r="A15" s="33" t="n"/>
      <c r="B15" s="33" t="n"/>
      <c r="C15" s="33" t="n"/>
      <c r="D15" s="26" t="n"/>
      <c r="E15" s="26" t="n"/>
      <c r="F15" s="26" t="n"/>
      <c r="G15" s="26" t="n"/>
      <c r="H15" s="25" t="n"/>
      <c r="I15" s="25" t="n"/>
    </row>
    <row r="16">
      <c r="A16" s="33" t="n"/>
      <c r="B16" s="33" t="n"/>
      <c r="C16" s="33" t="n"/>
      <c r="D16" s="26" t="n"/>
      <c r="E16" s="26" t="n"/>
      <c r="F16" s="26" t="n"/>
      <c r="G16" s="26" t="n"/>
      <c r="H16" s="25" t="n"/>
      <c r="I16" s="25" t="n"/>
    </row>
    <row r="17">
      <c r="A17" s="33" t="n"/>
      <c r="B17" s="33" t="n"/>
      <c r="C17" s="33" t="n"/>
      <c r="D17" s="26" t="n"/>
      <c r="E17" s="26" t="n"/>
      <c r="F17" s="26" t="n"/>
      <c r="G17" s="26" t="n"/>
      <c r="H17" s="25" t="n"/>
      <c r="I17" s="25" t="n"/>
    </row>
    <row r="18">
      <c r="A18" s="33" t="n"/>
      <c r="B18" s="33" t="n"/>
      <c r="C18" s="33" t="n"/>
      <c r="D18" s="26" t="n"/>
      <c r="E18" s="26" t="n"/>
      <c r="F18" s="26" t="n"/>
      <c r="G18" s="26" t="n"/>
      <c r="H18" s="25" t="n"/>
      <c r="I18" s="25" t="n"/>
    </row>
    <row r="19">
      <c r="A19" s="33" t="n"/>
      <c r="B19" s="33" t="n"/>
      <c r="C19" s="33" t="n"/>
      <c r="D19" s="26" t="n"/>
      <c r="E19" s="26" t="n"/>
      <c r="F19" s="26" t="n"/>
      <c r="G19" s="26" t="n"/>
      <c r="H19" s="25" t="n"/>
      <c r="I19" s="25" t="n"/>
    </row>
    <row r="20">
      <c r="A20" s="33" t="n"/>
      <c r="B20" s="33" t="n"/>
      <c r="C20" s="33" t="n"/>
      <c r="D20" s="26" t="n"/>
      <c r="E20" s="26" t="n"/>
      <c r="F20" s="26" t="n"/>
      <c r="G20" s="26" t="n"/>
      <c r="H20" s="25" t="n"/>
      <c r="I20" s="25" t="n"/>
    </row>
    <row r="21">
      <c r="A21" s="33" t="n"/>
      <c r="B21" s="33" t="n"/>
      <c r="C21" s="33" t="n"/>
      <c r="D21" s="26" t="n"/>
      <c r="E21" s="26" t="n"/>
      <c r="F21" s="26" t="n"/>
      <c r="G21" s="26" t="n"/>
      <c r="H21" s="25" t="n"/>
      <c r="I21" s="25" t="n"/>
    </row>
    <row r="22">
      <c r="A22" s="33" t="n"/>
      <c r="B22" s="33" t="n"/>
      <c r="C22" s="33" t="n"/>
      <c r="D22" s="26" t="n"/>
      <c r="E22" s="26" t="n"/>
      <c r="F22" s="26" t="n"/>
      <c r="G22" s="26" t="n"/>
      <c r="H22" s="25" t="n"/>
      <c r="I22" s="25" t="n"/>
    </row>
    <row r="23">
      <c r="A23" s="33" t="n"/>
      <c r="B23" s="33" t="n"/>
      <c r="C23" s="33" t="n"/>
      <c r="D23" s="26" t="n"/>
      <c r="E23" s="26" t="n"/>
      <c r="F23" s="26" t="n"/>
      <c r="G23" s="26" t="n"/>
      <c r="H23" s="25" t="n"/>
      <c r="I23" s="25" t="n"/>
    </row>
    <row r="24">
      <c r="A24" s="33" t="n"/>
      <c r="B24" s="33" t="n"/>
      <c r="C24" s="33" t="n"/>
      <c r="D24" s="26" t="n"/>
      <c r="E24" s="26" t="n"/>
      <c r="F24" s="26" t="n"/>
      <c r="G24" s="26" t="n"/>
      <c r="H24" s="25" t="n"/>
      <c r="I24" s="25" t="n"/>
    </row>
    <row r="25">
      <c r="A25" s="33" t="n"/>
      <c r="B25" s="33" t="n"/>
      <c r="C25" s="33" t="n"/>
      <c r="D25" s="26" t="n"/>
      <c r="E25" s="26" t="n"/>
      <c r="F25" s="26" t="n"/>
      <c r="G25" s="26" t="n"/>
      <c r="H25" s="25" t="n"/>
      <c r="I25" s="25" t="n"/>
    </row>
    <row r="26">
      <c r="A26" s="33" t="n"/>
      <c r="B26" s="33" t="n"/>
      <c r="C26" s="33" t="n"/>
      <c r="D26" s="26" t="n"/>
      <c r="E26" s="26" t="n"/>
      <c r="F26" s="26" t="n"/>
      <c r="G26" s="26" t="n"/>
      <c r="H26" s="25" t="n"/>
      <c r="I26" s="25" t="n"/>
    </row>
    <row r="27">
      <c r="A27" s="33" t="n"/>
      <c r="B27" s="33" t="n"/>
      <c r="C27" s="33" t="n"/>
      <c r="D27" s="26" t="n"/>
      <c r="E27" s="26" t="n"/>
      <c r="F27" s="26" t="n"/>
      <c r="G27" s="26" t="n"/>
      <c r="H27" s="25" t="n"/>
      <c r="I27" s="25" t="n"/>
    </row>
    <row r="28">
      <c r="A28" s="33" t="n"/>
      <c r="B28" s="33" t="n"/>
      <c r="C28" s="33" t="n"/>
      <c r="D28" s="26" t="n"/>
      <c r="E28" s="26" t="n"/>
      <c r="F28" s="26" t="n"/>
      <c r="G28" s="26" t="n"/>
      <c r="H28" s="25" t="n"/>
      <c r="I28" s="25" t="n"/>
    </row>
    <row r="29">
      <c r="A29" s="33" t="n"/>
      <c r="B29" s="33" t="n"/>
      <c r="C29" s="33" t="n"/>
      <c r="D29" s="26" t="n"/>
      <c r="E29" s="26" t="n"/>
      <c r="F29" s="26" t="n"/>
      <c r="G29" s="26" t="n"/>
      <c r="H29" s="25" t="n"/>
      <c r="I29" s="25" t="n"/>
    </row>
    <row r="30">
      <c r="A30" s="33" t="n"/>
      <c r="B30" s="33" t="n"/>
      <c r="C30" s="33" t="n"/>
      <c r="D30" s="26" t="n"/>
      <c r="E30" s="26" t="n"/>
      <c r="F30" s="26" t="n"/>
      <c r="G30" s="26" t="n"/>
      <c r="H30" s="25" t="n"/>
      <c r="I30" s="25" t="n"/>
    </row>
    <row r="31">
      <c r="A31" s="33" t="n"/>
      <c r="B31" s="33" t="n"/>
      <c r="C31" s="33" t="n"/>
      <c r="D31" s="26" t="n"/>
      <c r="E31" s="26" t="n"/>
      <c r="F31" s="26" t="n"/>
      <c r="G31" s="26" t="n"/>
      <c r="H31" s="25" t="n"/>
      <c r="I31" s="25" t="n"/>
    </row>
    <row r="32">
      <c r="A32" s="33" t="n"/>
      <c r="B32" s="33" t="n"/>
      <c r="C32" s="33" t="n"/>
      <c r="D32" s="26" t="n"/>
      <c r="E32" s="26" t="n"/>
      <c r="F32" s="26" t="n"/>
      <c r="G32" s="26" t="n"/>
      <c r="H32" s="25" t="n"/>
      <c r="I32" s="25" t="n"/>
    </row>
    <row r="33">
      <c r="A33" s="33" t="n"/>
      <c r="B33" s="33" t="n"/>
      <c r="C33" s="33" t="n"/>
      <c r="D33" s="26" t="n"/>
      <c r="E33" s="26" t="n"/>
      <c r="F33" s="26" t="n"/>
      <c r="G33" s="26" t="n"/>
      <c r="H33" s="25" t="n"/>
      <c r="I33" s="25" t="n"/>
    </row>
    <row r="34">
      <c r="A34" s="33" t="n"/>
      <c r="B34" s="33" t="n"/>
      <c r="C34" s="33" t="n"/>
      <c r="D34" s="26" t="n"/>
      <c r="E34" s="26" t="n"/>
      <c r="F34" s="26" t="n"/>
      <c r="G34" s="26" t="n"/>
      <c r="H34" s="25" t="n"/>
      <c r="I34" s="25" t="n"/>
    </row>
  </sheetData>
  <dataValidations count="2">
    <dataValidation sqref="H5:H200" showDropDown="0" showInputMessage="0" showErrorMessage="0" allowBlank="1" type="list">
      <formula1>"Green,Amber,Red"</formula1>
    </dataValidation>
    <dataValidation sqref="I5:I200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66666"/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</cols>
  <sheetData>
    <row r="1">
      <c r="A1" s="12" t="inlineStr">
        <is>
          <t>Principal Risk Report — Board Reporting Template (10 Items)</t>
        </is>
      </c>
    </row>
    <row r="2">
      <c r="A2" s="13" t="inlineStr">
        <is>
          <t>Book Reference: Chapter 12 — Integration</t>
        </is>
      </c>
    </row>
    <row r="3">
      <c r="A3" s="14" t="inlineStr">
        <is>
          <t>This report is presented to the Board Risk Committee. It contains the ten required elements per the methodology.</t>
        </is>
      </c>
    </row>
    <row r="5">
      <c r="A5" s="15" t="inlineStr">
        <is>
          <t>Risk ID</t>
        </is>
      </c>
      <c r="B5" s="15" t="inlineStr">
        <is>
          <t>Risk Name</t>
        </is>
      </c>
      <c r="C5" s="15" t="inlineStr">
        <is>
          <t>Residual Score</t>
        </is>
      </c>
      <c r="D5" s="15" t="inlineStr">
        <is>
          <t>Dominant Dimension</t>
        </is>
      </c>
      <c r="E5" s="15" t="inlineStr">
        <is>
          <t>Trend</t>
        </is>
      </c>
      <c r="F5" s="15" t="inlineStr">
        <is>
          <t>Appetite Status</t>
        </is>
      </c>
      <c r="G5" s="15" t="inlineStr">
        <is>
          <t>Data Quality</t>
        </is>
      </c>
      <c r="H5" s="15" t="inlineStr">
        <is>
          <t>New/Changed?</t>
        </is>
      </c>
      <c r="I5" s="15" t="inlineStr">
        <is>
          <t>Key KRI Alert</t>
        </is>
      </c>
      <c r="J5" s="15" t="inlineStr">
        <is>
          <t>Action Required</t>
        </is>
      </c>
    </row>
    <row r="6">
      <c r="A6" s="32" t="n"/>
      <c r="B6" s="32" t="n"/>
      <c r="C6" s="26" t="n"/>
      <c r="D6" s="26" t="n"/>
      <c r="E6" s="26" t="n"/>
      <c r="F6" s="26" t="n"/>
      <c r="G6" s="26" t="n"/>
      <c r="H6" s="26" t="n"/>
      <c r="I6" s="26" t="n"/>
      <c r="J6" s="26" t="n"/>
    </row>
    <row r="7">
      <c r="A7" s="32" t="n"/>
      <c r="B7" s="32" t="n"/>
      <c r="C7" s="26" t="n"/>
      <c r="D7" s="26" t="n"/>
      <c r="E7" s="26" t="n"/>
      <c r="F7" s="26" t="n"/>
      <c r="G7" s="26" t="n"/>
      <c r="H7" s="26" t="n"/>
      <c r="I7" s="26" t="n"/>
      <c r="J7" s="26" t="n"/>
    </row>
    <row r="8">
      <c r="A8" s="32" t="n"/>
      <c r="B8" s="32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>
      <c r="A9" s="32" t="n"/>
      <c r="B9" s="32" t="n"/>
      <c r="C9" s="26" t="n"/>
      <c r="D9" s="26" t="n"/>
      <c r="E9" s="26" t="n"/>
      <c r="F9" s="26" t="n"/>
      <c r="G9" s="26" t="n"/>
      <c r="H9" s="26" t="n"/>
      <c r="I9" s="26" t="n"/>
      <c r="J9" s="26" t="n"/>
    </row>
    <row r="10">
      <c r="A10" s="32" t="n"/>
      <c r="B10" s="32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>
      <c r="A11" s="32" t="n"/>
      <c r="B11" s="32" t="n"/>
      <c r="C11" s="26" t="n"/>
      <c r="D11" s="26" t="n"/>
      <c r="E11" s="26" t="n"/>
      <c r="F11" s="26" t="n"/>
      <c r="G11" s="26" t="n"/>
      <c r="H11" s="26" t="n"/>
      <c r="I11" s="26" t="n"/>
      <c r="J11" s="26" t="n"/>
    </row>
    <row r="12">
      <c r="A12" s="32" t="n"/>
      <c r="B12" s="32" t="n"/>
      <c r="C12" s="26" t="n"/>
      <c r="D12" s="26" t="n"/>
      <c r="E12" s="26" t="n"/>
      <c r="F12" s="26" t="n"/>
      <c r="G12" s="26" t="n"/>
      <c r="H12" s="26" t="n"/>
      <c r="I12" s="26" t="n"/>
      <c r="J12" s="26" t="n"/>
    </row>
    <row r="13">
      <c r="A13" s="32" t="n"/>
      <c r="B13" s="32" t="n"/>
      <c r="C13" s="26" t="n"/>
      <c r="D13" s="26" t="n"/>
      <c r="E13" s="26" t="n"/>
      <c r="F13" s="26" t="n"/>
      <c r="G13" s="26" t="n"/>
      <c r="H13" s="26" t="n"/>
      <c r="I13" s="26" t="n"/>
      <c r="J13" s="26" t="n"/>
    </row>
    <row r="14">
      <c r="A14" s="32" t="n"/>
      <c r="B14" s="32" t="n"/>
      <c r="C14" s="26" t="n"/>
      <c r="D14" s="26" t="n"/>
      <c r="E14" s="26" t="n"/>
      <c r="F14" s="26" t="n"/>
      <c r="G14" s="26" t="n"/>
      <c r="H14" s="26" t="n"/>
      <c r="I14" s="26" t="n"/>
      <c r="J14" s="26" t="n"/>
    </row>
    <row r="15">
      <c r="A15" s="32" t="n"/>
      <c r="B15" s="32" t="n"/>
      <c r="C15" s="26" t="n"/>
      <c r="D15" s="26" t="n"/>
      <c r="E15" s="26" t="n"/>
      <c r="F15" s="26" t="n"/>
      <c r="G15" s="26" t="n"/>
      <c r="H15" s="26" t="n"/>
      <c r="I15" s="26" t="n"/>
      <c r="J15" s="26" t="n"/>
    </row>
    <row r="16">
      <c r="A16" s="32" t="n"/>
      <c r="B16" s="32" t="n"/>
      <c r="C16" s="26" t="n"/>
      <c r="D16" s="26" t="n"/>
      <c r="E16" s="26" t="n"/>
      <c r="F16" s="26" t="n"/>
      <c r="G16" s="26" t="n"/>
      <c r="H16" s="26" t="n"/>
      <c r="I16" s="26" t="n"/>
      <c r="J16" s="26" t="n"/>
    </row>
    <row r="17">
      <c r="A17" s="32" t="n"/>
      <c r="B17" s="32" t="n"/>
      <c r="C17" s="26" t="n"/>
      <c r="D17" s="26" t="n"/>
      <c r="E17" s="26" t="n"/>
      <c r="F17" s="26" t="n"/>
      <c r="G17" s="26" t="n"/>
      <c r="H17" s="26" t="n"/>
      <c r="I17" s="26" t="n"/>
      <c r="J17" s="26" t="n"/>
    </row>
    <row r="18">
      <c r="A18" s="32" t="n"/>
      <c r="B18" s="32" t="n"/>
      <c r="C18" s="26" t="n"/>
      <c r="D18" s="26" t="n"/>
      <c r="E18" s="26" t="n"/>
      <c r="F18" s="26" t="n"/>
      <c r="G18" s="26" t="n"/>
      <c r="H18" s="26" t="n"/>
      <c r="I18" s="26" t="n"/>
      <c r="J18" s="26" t="n"/>
    </row>
    <row r="19">
      <c r="A19" s="32" t="n"/>
      <c r="B19" s="32" t="n"/>
      <c r="C19" s="26" t="n"/>
      <c r="D19" s="26" t="n"/>
      <c r="E19" s="26" t="n"/>
      <c r="F19" s="26" t="n"/>
      <c r="G19" s="26" t="n"/>
      <c r="H19" s="26" t="n"/>
      <c r="I19" s="26" t="n"/>
      <c r="J19" s="26" t="n"/>
    </row>
    <row r="20">
      <c r="A20" s="32" t="n"/>
      <c r="B20" s="32" t="n"/>
      <c r="C20" s="26" t="n"/>
      <c r="D20" s="26" t="n"/>
      <c r="E20" s="26" t="n"/>
      <c r="F20" s="26" t="n"/>
      <c r="G20" s="26" t="n"/>
      <c r="H20" s="26" t="n"/>
      <c r="I20" s="26" t="n"/>
      <c r="J20" s="26" t="n"/>
    </row>
    <row r="21">
      <c r="A21" s="32" t="n"/>
      <c r="B21" s="32" t="n"/>
      <c r="C21" s="26" t="n"/>
      <c r="D21" s="26" t="n"/>
      <c r="E21" s="26" t="n"/>
      <c r="F21" s="26" t="n"/>
      <c r="G21" s="26" t="n"/>
      <c r="H21" s="26" t="n"/>
      <c r="I21" s="26" t="n"/>
      <c r="J21" s="26" t="n"/>
    </row>
    <row r="22">
      <c r="A22" s="32" t="n"/>
      <c r="B22" s="32" t="n"/>
      <c r="C22" s="26" t="n"/>
      <c r="D22" s="26" t="n"/>
      <c r="E22" s="26" t="n"/>
      <c r="F22" s="26" t="n"/>
      <c r="G22" s="26" t="n"/>
      <c r="H22" s="26" t="n"/>
      <c r="I22" s="26" t="n"/>
      <c r="J22" s="26" t="n"/>
    </row>
    <row r="23">
      <c r="A23" s="32" t="n"/>
      <c r="B23" s="32" t="n"/>
      <c r="C23" s="26" t="n"/>
      <c r="D23" s="26" t="n"/>
      <c r="E23" s="26" t="n"/>
      <c r="F23" s="26" t="n"/>
      <c r="G23" s="26" t="n"/>
      <c r="H23" s="26" t="n"/>
      <c r="I23" s="26" t="n"/>
      <c r="J23" s="26" t="n"/>
    </row>
    <row r="24">
      <c r="A24" s="32" t="n"/>
      <c r="B24" s="32" t="n"/>
      <c r="C24" s="26" t="n"/>
      <c r="D24" s="26" t="n"/>
      <c r="E24" s="26" t="n"/>
      <c r="F24" s="26" t="n"/>
      <c r="G24" s="26" t="n"/>
      <c r="H24" s="26" t="n"/>
      <c r="I24" s="26" t="n"/>
      <c r="J24" s="26" t="n"/>
    </row>
    <row r="25">
      <c r="A25" s="32" t="n"/>
      <c r="B25" s="32" t="n"/>
      <c r="C25" s="26" t="n"/>
      <c r="D25" s="26" t="n"/>
      <c r="E25" s="26" t="n"/>
      <c r="F25" s="26" t="n"/>
      <c r="G25" s="26" t="n"/>
      <c r="H25" s="26" t="n"/>
      <c r="I25" s="26" t="n"/>
      <c r="J25" s="26" t="n"/>
    </row>
    <row r="26">
      <c r="A26" s="32" t="n"/>
      <c r="B26" s="32" t="n"/>
      <c r="C26" s="26" t="n"/>
      <c r="D26" s="26" t="n"/>
      <c r="E26" s="26" t="n"/>
      <c r="F26" s="26" t="n"/>
      <c r="G26" s="26" t="n"/>
      <c r="H26" s="26" t="n"/>
      <c r="I26" s="26" t="n"/>
      <c r="J26" s="26" t="n"/>
    </row>
    <row r="27">
      <c r="A27" s="32" t="n"/>
      <c r="B27" s="32" t="n"/>
      <c r="C27" s="26" t="n"/>
      <c r="D27" s="26" t="n"/>
      <c r="E27" s="26" t="n"/>
      <c r="F27" s="26" t="n"/>
      <c r="G27" s="26" t="n"/>
      <c r="H27" s="26" t="n"/>
      <c r="I27" s="26" t="n"/>
      <c r="J27" s="26" t="n"/>
    </row>
    <row r="28">
      <c r="A28" s="32" t="n"/>
      <c r="B28" s="32" t="n"/>
      <c r="C28" s="26" t="n"/>
      <c r="D28" s="26" t="n"/>
      <c r="E28" s="26" t="n"/>
      <c r="F28" s="26" t="n"/>
      <c r="G28" s="26" t="n"/>
      <c r="H28" s="26" t="n"/>
      <c r="I28" s="26" t="n"/>
      <c r="J28" s="26" t="n"/>
    </row>
    <row r="29">
      <c r="A29" s="32" t="n"/>
      <c r="B29" s="32" t="n"/>
      <c r="C29" s="26" t="n"/>
      <c r="D29" s="26" t="n"/>
      <c r="E29" s="26" t="n"/>
      <c r="F29" s="26" t="n"/>
      <c r="G29" s="26" t="n"/>
      <c r="H29" s="26" t="n"/>
      <c r="I29" s="26" t="n"/>
      <c r="J29" s="26" t="n"/>
    </row>
  </sheetData>
  <dataValidations count="2">
    <dataValidation sqref="D6:D200" showDropDown="0" showInputMessage="0" showErrorMessage="0" allowBlank="1" type="list">
      <formula1>"Financial,Regulatory,Reputational,Customer/Operational"</formula1>
    </dataValidation>
    <dataValidation sqref="F6:F200" showDropDown="0" showInputMessage="0" showErrorMessage="0" allowBlank="1" type="list">
      <formula1>"Within Appetite,Approaching Limit,Exceeds Appetite"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66666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5" customWidth="1" min="4" max="4"/>
    <col width="20" customWidth="1" min="5" max="5"/>
    <col width="25" customWidth="1" min="6" max="6"/>
  </cols>
  <sheetData>
    <row r="1">
      <c r="A1" s="12" t="inlineStr">
        <is>
          <t>Material Risk to Stress Scenario Mapping</t>
        </is>
      </c>
    </row>
    <row r="2">
      <c r="A2" s="13" t="inlineStr">
        <is>
          <t>Book Reference: Chapter 12 — Links inventory to ICAAP/ILAAP/CCAR</t>
        </is>
      </c>
    </row>
    <row r="4">
      <c r="A4" s="15" t="inlineStr">
        <is>
          <t>Risk ID</t>
        </is>
      </c>
      <c r="B4" s="15" t="inlineStr">
        <is>
          <t>Risk Name</t>
        </is>
      </c>
      <c r="C4" s="15" t="inlineStr">
        <is>
          <t>Stress Scenario</t>
        </is>
      </c>
      <c r="D4" s="15" t="inlineStr">
        <is>
          <t>Framework</t>
        </is>
      </c>
      <c r="E4" s="15" t="inlineStr">
        <is>
          <t>Severity Calibration</t>
        </is>
      </c>
      <c r="F4" s="15" t="inlineStr">
        <is>
          <t>Loss Estimate Basis</t>
        </is>
      </c>
    </row>
    <row r="5">
      <c r="A5" s="20" t="n"/>
      <c r="B5" s="20" t="n"/>
      <c r="C5" s="20" t="n"/>
      <c r="D5" s="20" t="n"/>
      <c r="E5" s="20" t="n"/>
      <c r="F5" s="20" t="n"/>
    </row>
    <row r="6">
      <c r="A6" s="20" t="n"/>
      <c r="B6" s="20" t="n"/>
      <c r="C6" s="20" t="n"/>
      <c r="D6" s="20" t="n"/>
      <c r="E6" s="20" t="n"/>
      <c r="F6" s="20" t="n"/>
    </row>
    <row r="7">
      <c r="A7" s="20" t="n"/>
      <c r="B7" s="20" t="n"/>
      <c r="C7" s="20" t="n"/>
      <c r="D7" s="20" t="n"/>
      <c r="E7" s="20" t="n"/>
      <c r="F7" s="20" t="n"/>
    </row>
    <row r="8">
      <c r="A8" s="20" t="n"/>
      <c r="B8" s="20" t="n"/>
      <c r="C8" s="20" t="n"/>
      <c r="D8" s="20" t="n"/>
      <c r="E8" s="20" t="n"/>
      <c r="F8" s="20" t="n"/>
    </row>
    <row r="9">
      <c r="A9" s="20" t="n"/>
      <c r="B9" s="20" t="n"/>
      <c r="C9" s="20" t="n"/>
      <c r="D9" s="20" t="n"/>
      <c r="E9" s="20" t="n"/>
      <c r="F9" s="20" t="n"/>
    </row>
    <row r="10">
      <c r="A10" s="20" t="n"/>
      <c r="B10" s="20" t="n"/>
      <c r="C10" s="20" t="n"/>
      <c r="D10" s="20" t="n"/>
      <c r="E10" s="20" t="n"/>
      <c r="F10" s="20" t="n"/>
    </row>
    <row r="11">
      <c r="A11" s="20" t="n"/>
      <c r="B11" s="20" t="n"/>
      <c r="C11" s="20" t="n"/>
      <c r="D11" s="20" t="n"/>
      <c r="E11" s="20" t="n"/>
      <c r="F11" s="20" t="n"/>
    </row>
    <row r="12">
      <c r="A12" s="20" t="n"/>
      <c r="B12" s="20" t="n"/>
      <c r="C12" s="20" t="n"/>
      <c r="D12" s="20" t="n"/>
      <c r="E12" s="20" t="n"/>
      <c r="F12" s="20" t="n"/>
    </row>
    <row r="13">
      <c r="A13" s="20" t="n"/>
      <c r="B13" s="20" t="n"/>
      <c r="C13" s="20" t="n"/>
      <c r="D13" s="20" t="n"/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0" t="n"/>
      <c r="C16" s="20" t="n"/>
      <c r="D16" s="20" t="n"/>
      <c r="E16" s="20" t="n"/>
      <c r="F16" s="20" t="n"/>
    </row>
    <row r="17">
      <c r="A17" s="20" t="n"/>
      <c r="B17" s="20" t="n"/>
      <c r="C17" s="20" t="n"/>
      <c r="D17" s="20" t="n"/>
      <c r="E17" s="20" t="n"/>
      <c r="F17" s="20" t="n"/>
    </row>
    <row r="18">
      <c r="A18" s="20" t="n"/>
      <c r="B18" s="20" t="n"/>
      <c r="C18" s="20" t="n"/>
      <c r="D18" s="20" t="n"/>
      <c r="E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0" t="n"/>
      <c r="C20" s="20" t="n"/>
      <c r="D20" s="20" t="n"/>
      <c r="E20" s="20" t="n"/>
      <c r="F20" s="20" t="n"/>
    </row>
    <row r="21">
      <c r="A21" s="20" t="n"/>
      <c r="B21" s="20" t="n"/>
      <c r="C21" s="20" t="n"/>
      <c r="D21" s="20" t="n"/>
      <c r="E21" s="20" t="n"/>
      <c r="F21" s="20" t="n"/>
    </row>
    <row r="22">
      <c r="A22" s="20" t="n"/>
      <c r="B22" s="20" t="n"/>
      <c r="C22" s="20" t="n"/>
      <c r="D22" s="20" t="n"/>
      <c r="E22" s="20" t="n"/>
      <c r="F22" s="20" t="n"/>
    </row>
    <row r="23">
      <c r="A23" s="20" t="n"/>
      <c r="B23" s="20" t="n"/>
      <c r="C23" s="20" t="n"/>
      <c r="D23" s="20" t="n"/>
      <c r="E23" s="20" t="n"/>
      <c r="F23" s="20" t="n"/>
    </row>
    <row r="24">
      <c r="A24" s="20" t="n"/>
      <c r="B24" s="20" t="n"/>
      <c r="C24" s="20" t="n"/>
      <c r="D24" s="20" t="n"/>
      <c r="E24" s="20" t="n"/>
      <c r="F24" s="20" t="n"/>
    </row>
    <row r="25">
      <c r="A25" s="20" t="n"/>
      <c r="B25" s="20" t="n"/>
      <c r="C25" s="20" t="n"/>
      <c r="D25" s="20" t="n"/>
      <c r="E25" s="20" t="n"/>
      <c r="F25" s="20" t="n"/>
    </row>
    <row r="26">
      <c r="A26" s="20" t="n"/>
      <c r="B26" s="20" t="n"/>
      <c r="C26" s="20" t="n"/>
      <c r="D26" s="20" t="n"/>
      <c r="E26" s="20" t="n"/>
      <c r="F26" s="20" t="n"/>
    </row>
    <row r="27">
      <c r="A27" s="20" t="n"/>
      <c r="B27" s="20" t="n"/>
      <c r="C27" s="20" t="n"/>
      <c r="D27" s="20" t="n"/>
      <c r="E27" s="20" t="n"/>
      <c r="F27" s="20" t="n"/>
    </row>
    <row r="28">
      <c r="A28" s="20" t="n"/>
      <c r="B28" s="20" t="n"/>
      <c r="C28" s="20" t="n"/>
      <c r="D28" s="20" t="n"/>
      <c r="E28" s="20" t="n"/>
      <c r="F28" s="20" t="n"/>
    </row>
    <row r="29">
      <c r="A29" s="20" t="n"/>
      <c r="B29" s="20" t="n"/>
      <c r="C29" s="20" t="n"/>
      <c r="D29" s="20" t="n"/>
      <c r="E29" s="20" t="n"/>
      <c r="F29" s="20" t="n"/>
    </row>
    <row r="30">
      <c r="A30" s="20" t="n"/>
      <c r="B30" s="20" t="n"/>
      <c r="C30" s="20" t="n"/>
      <c r="D30" s="20" t="n"/>
      <c r="E30" s="20" t="n"/>
      <c r="F30" s="20" t="n"/>
    </row>
    <row r="31">
      <c r="A31" s="20" t="n"/>
      <c r="B31" s="20" t="n"/>
      <c r="C31" s="20" t="n"/>
      <c r="D31" s="20" t="n"/>
      <c r="E31" s="20" t="n"/>
      <c r="F31" s="20" t="n"/>
    </row>
    <row r="32">
      <c r="A32" s="20" t="n"/>
      <c r="B32" s="20" t="n"/>
      <c r="C32" s="20" t="n"/>
      <c r="D32" s="20" t="n"/>
      <c r="E32" s="20" t="n"/>
      <c r="F32" s="20" t="n"/>
    </row>
    <row r="33">
      <c r="A33" s="20" t="n"/>
      <c r="B33" s="20" t="n"/>
      <c r="C33" s="20" t="n"/>
      <c r="D33" s="20" t="n"/>
      <c r="E33" s="20" t="n"/>
      <c r="F33" s="20" t="n"/>
    </row>
    <row r="34">
      <c r="A34" s="20" t="n"/>
      <c r="B34" s="20" t="n"/>
      <c r="C34" s="20" t="n"/>
      <c r="D34" s="20" t="n"/>
      <c r="E34" s="20" t="n"/>
      <c r="F34" s="20" t="n"/>
    </row>
    <row r="35">
      <c r="A35" s="20" t="n"/>
      <c r="B35" s="20" t="n"/>
      <c r="C35" s="20" t="n"/>
      <c r="D35" s="20" t="n"/>
      <c r="E35" s="20" t="n"/>
      <c r="F35" s="20" t="n"/>
    </row>
    <row r="36">
      <c r="A36" s="20" t="n"/>
      <c r="B36" s="20" t="n"/>
      <c r="C36" s="20" t="n"/>
      <c r="D36" s="20" t="n"/>
      <c r="E36" s="20" t="n"/>
      <c r="F36" s="20" t="n"/>
    </row>
    <row r="37">
      <c r="A37" s="20" t="n"/>
      <c r="B37" s="20" t="n"/>
      <c r="C37" s="20" t="n"/>
      <c r="D37" s="20" t="n"/>
      <c r="E37" s="20" t="n"/>
      <c r="F37" s="20" t="n"/>
    </row>
    <row r="38">
      <c r="A38" s="20" t="n"/>
      <c r="B38" s="20" t="n"/>
      <c r="C38" s="20" t="n"/>
      <c r="D38" s="20" t="n"/>
      <c r="E38" s="20" t="n"/>
      <c r="F38" s="20" t="n"/>
    </row>
    <row r="39">
      <c r="A39" s="20" t="n"/>
      <c r="B39" s="20" t="n"/>
      <c r="C39" s="20" t="n"/>
      <c r="D39" s="20" t="n"/>
      <c r="E39" s="20" t="n"/>
      <c r="F39" s="20" t="n"/>
    </row>
  </sheetData>
  <dataValidations count="1">
    <dataValidation sqref="D5:D200" showDropDown="0" showInputMessage="0" showErrorMessage="0" allowBlank="1" type="list">
      <formula1>"ICAAP,ILAAP,CCAR,Recovery Plan,Reverse Stress Test"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666666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0" customWidth="1" min="5" max="5"/>
    <col width="25" customWidth="1" min="6" max="6"/>
  </cols>
  <sheetData>
    <row r="1">
      <c r="A1" s="12" t="inlineStr">
        <is>
          <t>Regulatory vs Economic Risk Gap Analysis</t>
        </is>
      </c>
    </row>
    <row r="2">
      <c r="A2" s="13" t="inlineStr">
        <is>
          <t>Book Reference: Chapter 12, 15 — Four-step comparison</t>
        </is>
      </c>
    </row>
    <row r="4">
      <c r="A4" s="15" t="inlineStr">
        <is>
          <t>Risk ID</t>
        </is>
      </c>
      <c r="B4" s="15" t="inlineStr">
        <is>
          <t>Risk Name</t>
        </is>
      </c>
      <c r="C4" s="15" t="inlineStr">
        <is>
          <t>Regulatory Treatment (Pillar 1)</t>
        </is>
      </c>
      <c r="D4" s="15" t="inlineStr">
        <is>
          <t>Economic Assessment (Pillar 2)</t>
        </is>
      </c>
      <c r="E4" s="15" t="inlineStr">
        <is>
          <t>Gap Identified?</t>
        </is>
      </c>
      <c r="F4" s="15" t="inlineStr">
        <is>
          <t>Pillar 2A Action</t>
        </is>
      </c>
    </row>
    <row r="5">
      <c r="A5" s="20" t="n"/>
      <c r="B5" s="20" t="n"/>
      <c r="C5" s="20" t="n"/>
      <c r="D5" s="20" t="n"/>
      <c r="E5" s="20" t="n"/>
      <c r="F5" s="20" t="n"/>
    </row>
    <row r="6">
      <c r="A6" s="20" t="n"/>
      <c r="B6" s="20" t="n"/>
      <c r="C6" s="20" t="n"/>
      <c r="D6" s="20" t="n"/>
      <c r="E6" s="20" t="n"/>
      <c r="F6" s="20" t="n"/>
    </row>
    <row r="7">
      <c r="A7" s="20" t="n"/>
      <c r="B7" s="20" t="n"/>
      <c r="C7" s="20" t="n"/>
      <c r="D7" s="20" t="n"/>
      <c r="E7" s="20" t="n"/>
      <c r="F7" s="20" t="n"/>
    </row>
    <row r="8">
      <c r="A8" s="20" t="n"/>
      <c r="B8" s="20" t="n"/>
      <c r="C8" s="20" t="n"/>
      <c r="D8" s="20" t="n"/>
      <c r="E8" s="20" t="n"/>
      <c r="F8" s="20" t="n"/>
    </row>
    <row r="9">
      <c r="A9" s="20" t="n"/>
      <c r="B9" s="20" t="n"/>
      <c r="C9" s="20" t="n"/>
      <c r="D9" s="20" t="n"/>
      <c r="E9" s="20" t="n"/>
      <c r="F9" s="20" t="n"/>
    </row>
    <row r="10">
      <c r="A10" s="20" t="n"/>
      <c r="B10" s="20" t="n"/>
      <c r="C10" s="20" t="n"/>
      <c r="D10" s="20" t="n"/>
      <c r="E10" s="20" t="n"/>
      <c r="F10" s="20" t="n"/>
    </row>
    <row r="11">
      <c r="A11" s="20" t="n"/>
      <c r="B11" s="20" t="n"/>
      <c r="C11" s="20" t="n"/>
      <c r="D11" s="20" t="n"/>
      <c r="E11" s="20" t="n"/>
      <c r="F11" s="20" t="n"/>
    </row>
    <row r="12">
      <c r="A12" s="20" t="n"/>
      <c r="B12" s="20" t="n"/>
      <c r="C12" s="20" t="n"/>
      <c r="D12" s="20" t="n"/>
      <c r="E12" s="20" t="n"/>
      <c r="F12" s="20" t="n"/>
    </row>
    <row r="13">
      <c r="A13" s="20" t="n"/>
      <c r="B13" s="20" t="n"/>
      <c r="C13" s="20" t="n"/>
      <c r="D13" s="20" t="n"/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0" t="n"/>
      <c r="C16" s="20" t="n"/>
      <c r="D16" s="20" t="n"/>
      <c r="E16" s="20" t="n"/>
      <c r="F16" s="20" t="n"/>
    </row>
    <row r="17">
      <c r="A17" s="20" t="n"/>
      <c r="B17" s="20" t="n"/>
      <c r="C17" s="20" t="n"/>
      <c r="D17" s="20" t="n"/>
      <c r="E17" s="20" t="n"/>
      <c r="F17" s="20" t="n"/>
    </row>
    <row r="18">
      <c r="A18" s="20" t="n"/>
      <c r="B18" s="20" t="n"/>
      <c r="C18" s="20" t="n"/>
      <c r="D18" s="20" t="n"/>
      <c r="E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0" t="n"/>
      <c r="C20" s="20" t="n"/>
      <c r="D20" s="20" t="n"/>
      <c r="E20" s="20" t="n"/>
      <c r="F20" s="20" t="n"/>
    </row>
    <row r="21">
      <c r="A21" s="20" t="n"/>
      <c r="B21" s="20" t="n"/>
      <c r="C21" s="20" t="n"/>
      <c r="D21" s="20" t="n"/>
      <c r="E21" s="20" t="n"/>
      <c r="F21" s="20" t="n"/>
    </row>
    <row r="22">
      <c r="A22" s="20" t="n"/>
      <c r="B22" s="20" t="n"/>
      <c r="C22" s="20" t="n"/>
      <c r="D22" s="20" t="n"/>
      <c r="E22" s="20" t="n"/>
      <c r="F22" s="20" t="n"/>
    </row>
    <row r="23">
      <c r="A23" s="20" t="n"/>
      <c r="B23" s="20" t="n"/>
      <c r="C23" s="20" t="n"/>
      <c r="D23" s="20" t="n"/>
      <c r="E23" s="20" t="n"/>
      <c r="F23" s="20" t="n"/>
    </row>
    <row r="24">
      <c r="A24" s="20" t="n"/>
      <c r="B24" s="20" t="n"/>
      <c r="C24" s="20" t="n"/>
      <c r="D24" s="20" t="n"/>
      <c r="E24" s="20" t="n"/>
      <c r="F24" s="20" t="n"/>
    </row>
    <row r="25">
      <c r="A25" s="20" t="n"/>
      <c r="B25" s="20" t="n"/>
      <c r="C25" s="20" t="n"/>
      <c r="D25" s="20" t="n"/>
      <c r="E25" s="20" t="n"/>
      <c r="F25" s="20" t="n"/>
    </row>
    <row r="26">
      <c r="A26" s="20" t="n"/>
      <c r="B26" s="20" t="n"/>
      <c r="C26" s="20" t="n"/>
      <c r="D26" s="20" t="n"/>
      <c r="E26" s="20" t="n"/>
      <c r="F26" s="20" t="n"/>
    </row>
    <row r="27">
      <c r="A27" s="20" t="n"/>
      <c r="B27" s="20" t="n"/>
      <c r="C27" s="20" t="n"/>
      <c r="D27" s="20" t="n"/>
      <c r="E27" s="20" t="n"/>
      <c r="F27" s="20" t="n"/>
    </row>
    <row r="28">
      <c r="A28" s="20" t="n"/>
      <c r="B28" s="20" t="n"/>
      <c r="C28" s="20" t="n"/>
      <c r="D28" s="20" t="n"/>
      <c r="E28" s="20" t="n"/>
      <c r="F28" s="20" t="n"/>
    </row>
    <row r="29">
      <c r="A29" s="20" t="n"/>
      <c r="B29" s="20" t="n"/>
      <c r="C29" s="20" t="n"/>
      <c r="D29" s="20" t="n"/>
      <c r="E29" s="20" t="n"/>
      <c r="F29" s="20" t="n"/>
    </row>
    <row r="30">
      <c r="A30" s="20" t="n"/>
      <c r="B30" s="20" t="n"/>
      <c r="C30" s="20" t="n"/>
      <c r="D30" s="20" t="n"/>
      <c r="E30" s="20" t="n"/>
      <c r="F30" s="20" t="n"/>
    </row>
    <row r="31">
      <c r="A31" s="20" t="n"/>
      <c r="B31" s="20" t="n"/>
      <c r="C31" s="20" t="n"/>
      <c r="D31" s="20" t="n"/>
      <c r="E31" s="20" t="n"/>
      <c r="F31" s="20" t="n"/>
    </row>
    <row r="32">
      <c r="A32" s="20" t="n"/>
      <c r="B32" s="20" t="n"/>
      <c r="C32" s="20" t="n"/>
      <c r="D32" s="20" t="n"/>
      <c r="E32" s="20" t="n"/>
      <c r="F32" s="20" t="n"/>
    </row>
    <row r="33">
      <c r="A33" s="20" t="n"/>
      <c r="B33" s="20" t="n"/>
      <c r="C33" s="20" t="n"/>
      <c r="D33" s="20" t="n"/>
      <c r="E33" s="20" t="n"/>
      <c r="F33" s="20" t="n"/>
    </row>
    <row r="34">
      <c r="A34" s="20" t="n"/>
      <c r="B34" s="20" t="n"/>
      <c r="C34" s="20" t="n"/>
      <c r="D34" s="20" t="n"/>
      <c r="E34" s="20" t="n"/>
      <c r="F34" s="20" t="n"/>
    </row>
  </sheetData>
  <dataValidations count="1">
    <dataValidation sqref="E5:E200" showDropDown="0" showInputMessage="0" showErrorMessage="0" allowBlank="1" type="list">
      <formula1>"No gap,Under-captured in Pillar 1,Not captured in Pillar 1,Over-captured in Pillar 1"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D8B2D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  <col width="15" customWidth="1" min="7" max="7"/>
  </cols>
  <sheetData>
    <row r="1">
      <c r="A1" s="12" t="inlineStr">
        <is>
          <t>Emerging Risk Register</t>
        </is>
      </c>
    </row>
    <row r="2">
      <c r="A2" s="13" t="inlineStr">
        <is>
          <t>Book Reference: Chapter 6, 13 — Risks not yet material but requiring monitoring</t>
        </is>
      </c>
    </row>
    <row r="4">
      <c r="A4" s="15" t="inlineStr">
        <is>
          <t>ER-ID</t>
        </is>
      </c>
      <c r="B4" s="15" t="inlineStr">
        <is>
          <t>Risk Description</t>
        </is>
      </c>
      <c r="C4" s="15" t="inlineStr">
        <is>
          <t>Source</t>
        </is>
      </c>
      <c r="D4" s="15" t="inlineStr">
        <is>
          <t>Horizon</t>
        </is>
      </c>
      <c r="E4" s="15" t="inlineStr">
        <is>
          <t>Potential Impact</t>
        </is>
      </c>
      <c r="F4" s="15" t="inlineStr">
        <is>
          <t>Monitoring Actions</t>
        </is>
      </c>
      <c r="G4" s="15" t="inlineStr">
        <is>
          <t>Review Date</t>
        </is>
      </c>
    </row>
    <row r="5">
      <c r="A5" s="20" t="n"/>
      <c r="B5" s="20" t="n"/>
      <c r="C5" s="20" t="n"/>
      <c r="D5" s="20" t="n"/>
      <c r="E5" s="20" t="n"/>
      <c r="F5" s="20" t="n"/>
      <c r="G5" s="20" t="n"/>
    </row>
    <row r="6">
      <c r="A6" s="20" t="n"/>
      <c r="B6" s="20" t="n"/>
      <c r="C6" s="20" t="n"/>
      <c r="D6" s="20" t="n"/>
      <c r="E6" s="20" t="n"/>
      <c r="F6" s="20" t="n"/>
      <c r="G6" s="20" t="n"/>
    </row>
    <row r="7">
      <c r="A7" s="20" t="n"/>
      <c r="B7" s="20" t="n"/>
      <c r="C7" s="20" t="n"/>
      <c r="D7" s="20" t="n"/>
      <c r="E7" s="20" t="n"/>
      <c r="F7" s="20" t="n"/>
      <c r="G7" s="20" t="n"/>
    </row>
    <row r="8">
      <c r="A8" s="20" t="n"/>
      <c r="B8" s="20" t="n"/>
      <c r="C8" s="20" t="n"/>
      <c r="D8" s="20" t="n"/>
      <c r="E8" s="20" t="n"/>
      <c r="F8" s="20" t="n"/>
      <c r="G8" s="20" t="n"/>
    </row>
    <row r="9">
      <c r="A9" s="20" t="n"/>
      <c r="B9" s="20" t="n"/>
      <c r="C9" s="20" t="n"/>
      <c r="D9" s="20" t="n"/>
      <c r="E9" s="20" t="n"/>
      <c r="F9" s="20" t="n"/>
      <c r="G9" s="20" t="n"/>
    </row>
    <row r="10">
      <c r="A10" s="20" t="n"/>
      <c r="B10" s="20" t="n"/>
      <c r="C10" s="20" t="n"/>
      <c r="D10" s="20" t="n"/>
      <c r="E10" s="20" t="n"/>
      <c r="F10" s="20" t="n"/>
      <c r="G10" s="20" t="n"/>
    </row>
    <row r="11">
      <c r="A11" s="20" t="n"/>
      <c r="B11" s="20" t="n"/>
      <c r="C11" s="20" t="n"/>
      <c r="D11" s="20" t="n"/>
      <c r="E11" s="20" t="n"/>
      <c r="F11" s="20" t="n"/>
      <c r="G11" s="20" t="n"/>
    </row>
    <row r="12">
      <c r="A12" s="20" t="n"/>
      <c r="B12" s="20" t="n"/>
      <c r="C12" s="20" t="n"/>
      <c r="D12" s="20" t="n"/>
      <c r="E12" s="20" t="n"/>
      <c r="F12" s="20" t="n"/>
      <c r="G12" s="20" t="n"/>
    </row>
    <row r="13">
      <c r="A13" s="20" t="n"/>
      <c r="B13" s="20" t="n"/>
      <c r="C13" s="20" t="n"/>
      <c r="D13" s="20" t="n"/>
      <c r="E13" s="20" t="n"/>
      <c r="F13" s="20" t="n"/>
      <c r="G13" s="20" t="n"/>
    </row>
    <row r="14">
      <c r="A14" s="20" t="n"/>
      <c r="B14" s="20" t="n"/>
      <c r="C14" s="20" t="n"/>
      <c r="D14" s="20" t="n"/>
      <c r="E14" s="20" t="n"/>
      <c r="F14" s="20" t="n"/>
      <c r="G14" s="20" t="n"/>
    </row>
    <row r="15">
      <c r="A15" s="20" t="n"/>
      <c r="B15" s="20" t="n"/>
      <c r="C15" s="20" t="n"/>
      <c r="D15" s="20" t="n"/>
      <c r="E15" s="20" t="n"/>
      <c r="F15" s="20" t="n"/>
      <c r="G15" s="20" t="n"/>
    </row>
    <row r="16">
      <c r="A16" s="20" t="n"/>
      <c r="B16" s="20" t="n"/>
      <c r="C16" s="20" t="n"/>
      <c r="D16" s="20" t="n"/>
      <c r="E16" s="20" t="n"/>
      <c r="F16" s="20" t="n"/>
      <c r="G16" s="20" t="n"/>
    </row>
    <row r="17">
      <c r="A17" s="20" t="n"/>
      <c r="B17" s="20" t="n"/>
      <c r="C17" s="20" t="n"/>
      <c r="D17" s="20" t="n"/>
      <c r="E17" s="20" t="n"/>
      <c r="F17" s="20" t="n"/>
      <c r="G17" s="20" t="n"/>
    </row>
    <row r="18">
      <c r="A18" s="20" t="n"/>
      <c r="B18" s="20" t="n"/>
      <c r="C18" s="20" t="n"/>
      <c r="D18" s="20" t="n"/>
      <c r="E18" s="20" t="n"/>
      <c r="F18" s="20" t="n"/>
      <c r="G18" s="20" t="n"/>
    </row>
    <row r="19">
      <c r="A19" s="20" t="n"/>
      <c r="B19" s="20" t="n"/>
      <c r="C19" s="20" t="n"/>
      <c r="D19" s="20" t="n"/>
      <c r="E19" s="20" t="n"/>
      <c r="F19" s="20" t="n"/>
      <c r="G19" s="20" t="n"/>
    </row>
    <row r="20">
      <c r="A20" s="20" t="n"/>
      <c r="B20" s="20" t="n"/>
      <c r="C20" s="20" t="n"/>
      <c r="D20" s="20" t="n"/>
      <c r="E20" s="20" t="n"/>
      <c r="F20" s="20" t="n"/>
      <c r="G20" s="20" t="n"/>
    </row>
    <row r="21">
      <c r="A21" s="20" t="n"/>
      <c r="B21" s="20" t="n"/>
      <c r="C21" s="20" t="n"/>
      <c r="D21" s="20" t="n"/>
      <c r="E21" s="20" t="n"/>
      <c r="F21" s="20" t="n"/>
      <c r="G21" s="20" t="n"/>
    </row>
    <row r="22">
      <c r="A22" s="20" t="n"/>
      <c r="B22" s="20" t="n"/>
      <c r="C22" s="20" t="n"/>
      <c r="D22" s="20" t="n"/>
      <c r="E22" s="20" t="n"/>
      <c r="F22" s="20" t="n"/>
      <c r="G22" s="20" t="n"/>
    </row>
    <row r="23">
      <c r="A23" s="20" t="n"/>
      <c r="B23" s="20" t="n"/>
      <c r="C23" s="20" t="n"/>
      <c r="D23" s="20" t="n"/>
      <c r="E23" s="20" t="n"/>
      <c r="F23" s="20" t="n"/>
      <c r="G23" s="20" t="n"/>
    </row>
    <row r="24">
      <c r="A24" s="20" t="n"/>
      <c r="B24" s="20" t="n"/>
      <c r="C24" s="20" t="n"/>
      <c r="D24" s="20" t="n"/>
      <c r="E24" s="20" t="n"/>
      <c r="F24" s="20" t="n"/>
      <c r="G24" s="20" t="n"/>
    </row>
  </sheetData>
  <dataValidations count="2">
    <dataValidation sqref="C5:C200" showDropDown="0" showInputMessage="0" showErrorMessage="0" allowBlank="1" type="list">
      <formula1>"Delphi Panel,Workshop,Horizon Scan,Regulatory Alert,Industry Event,Internal Intelligence"</formula1>
    </dataValidation>
    <dataValidation sqref="D5:D200" showDropDown="0" showInputMessage="0" showErrorMessage="0" allowBlank="1" type="list">
      <formula1>"&lt;1 year,1-3 years,3-5 years,&gt;5 years"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D8B2D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20" customWidth="1" min="4" max="4"/>
    <col width="30" customWidth="1" min="5" max="5"/>
    <col width="15" customWidth="1" min="6" max="6"/>
  </cols>
  <sheetData>
    <row r="1">
      <c r="A1" s="12" t="inlineStr">
        <is>
          <t>Assumption Register</t>
        </is>
      </c>
    </row>
    <row r="2">
      <c r="A2" s="13" t="inlineStr">
        <is>
          <t>Book Reference: Chapter 6, 11, 13 — Tracks key assumptions underpinning risk assessments</t>
        </is>
      </c>
    </row>
    <row r="4">
      <c r="A4" s="15" t="inlineStr">
        <is>
          <t>#</t>
        </is>
      </c>
      <c r="B4" s="15" t="inlineStr">
        <is>
          <t>Assumption</t>
        </is>
      </c>
      <c r="C4" s="15" t="inlineStr">
        <is>
          <t>Risks Affected</t>
        </is>
      </c>
      <c r="D4" s="15" t="inlineStr">
        <is>
          <t>Evidence Basis</t>
        </is>
      </c>
      <c r="E4" s="15" t="inlineStr">
        <is>
          <t>Challenge / Sensitivity</t>
        </is>
      </c>
      <c r="F4" s="15" t="inlineStr">
        <is>
          <t>Review Date</t>
        </is>
      </c>
    </row>
    <row r="5">
      <c r="A5" s="20" t="n"/>
      <c r="B5" s="20" t="n"/>
      <c r="C5" s="20" t="n"/>
      <c r="D5" s="20" t="n"/>
      <c r="E5" s="20" t="n"/>
      <c r="F5" s="20" t="n"/>
    </row>
    <row r="6">
      <c r="A6" s="20" t="n"/>
      <c r="B6" s="20" t="n"/>
      <c r="C6" s="20" t="n"/>
      <c r="D6" s="20" t="n"/>
      <c r="E6" s="20" t="n"/>
      <c r="F6" s="20" t="n"/>
    </row>
    <row r="7">
      <c r="A7" s="20" t="n"/>
      <c r="B7" s="20" t="n"/>
      <c r="C7" s="20" t="n"/>
      <c r="D7" s="20" t="n"/>
      <c r="E7" s="20" t="n"/>
      <c r="F7" s="20" t="n"/>
    </row>
    <row r="8">
      <c r="A8" s="20" t="n"/>
      <c r="B8" s="20" t="n"/>
      <c r="C8" s="20" t="n"/>
      <c r="D8" s="20" t="n"/>
      <c r="E8" s="20" t="n"/>
      <c r="F8" s="20" t="n"/>
    </row>
    <row r="9">
      <c r="A9" s="20" t="n"/>
      <c r="B9" s="20" t="n"/>
      <c r="C9" s="20" t="n"/>
      <c r="D9" s="20" t="n"/>
      <c r="E9" s="20" t="n"/>
      <c r="F9" s="20" t="n"/>
    </row>
    <row r="10">
      <c r="A10" s="20" t="n"/>
      <c r="B10" s="20" t="n"/>
      <c r="C10" s="20" t="n"/>
      <c r="D10" s="20" t="n"/>
      <c r="E10" s="20" t="n"/>
      <c r="F10" s="20" t="n"/>
    </row>
    <row r="11">
      <c r="A11" s="20" t="n"/>
      <c r="B11" s="20" t="n"/>
      <c r="C11" s="20" t="n"/>
      <c r="D11" s="20" t="n"/>
      <c r="E11" s="20" t="n"/>
      <c r="F11" s="20" t="n"/>
    </row>
    <row r="12">
      <c r="A12" s="20" t="n"/>
      <c r="B12" s="20" t="n"/>
      <c r="C12" s="20" t="n"/>
      <c r="D12" s="20" t="n"/>
      <c r="E12" s="20" t="n"/>
      <c r="F12" s="20" t="n"/>
    </row>
    <row r="13">
      <c r="A13" s="20" t="n"/>
      <c r="B13" s="20" t="n"/>
      <c r="C13" s="20" t="n"/>
      <c r="D13" s="20" t="n"/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0" t="n"/>
      <c r="C16" s="20" t="n"/>
      <c r="D16" s="20" t="n"/>
      <c r="E16" s="20" t="n"/>
      <c r="F16" s="20" t="n"/>
    </row>
    <row r="17">
      <c r="A17" s="20" t="n"/>
      <c r="B17" s="20" t="n"/>
      <c r="C17" s="20" t="n"/>
      <c r="D17" s="20" t="n"/>
      <c r="E17" s="20" t="n"/>
      <c r="F17" s="20" t="n"/>
    </row>
    <row r="18">
      <c r="A18" s="20" t="n"/>
      <c r="B18" s="20" t="n"/>
      <c r="C18" s="20" t="n"/>
      <c r="D18" s="20" t="n"/>
      <c r="E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0" t="n"/>
      <c r="C20" s="20" t="n"/>
      <c r="D20" s="20" t="n"/>
      <c r="E20" s="20" t="n"/>
      <c r="F20" s="20" t="n"/>
    </row>
    <row r="21">
      <c r="A21" s="20" t="n"/>
      <c r="B21" s="20" t="n"/>
      <c r="C21" s="20" t="n"/>
      <c r="D21" s="20" t="n"/>
      <c r="E21" s="20" t="n"/>
      <c r="F21" s="20" t="n"/>
    </row>
    <row r="22">
      <c r="A22" s="20" t="n"/>
      <c r="B22" s="20" t="n"/>
      <c r="C22" s="20" t="n"/>
      <c r="D22" s="20" t="n"/>
      <c r="E22" s="20" t="n"/>
      <c r="F22" s="20" t="n"/>
    </row>
    <row r="23">
      <c r="A23" s="20" t="n"/>
      <c r="B23" s="20" t="n"/>
      <c r="C23" s="20" t="n"/>
      <c r="D23" s="20" t="n"/>
      <c r="E23" s="20" t="n"/>
      <c r="F23" s="20" t="n"/>
    </row>
    <row r="24">
      <c r="A24" s="20" t="n"/>
      <c r="B24" s="20" t="n"/>
      <c r="C24" s="20" t="n"/>
      <c r="D24" s="20" t="n"/>
      <c r="E24" s="20" t="n"/>
      <c r="F24" s="2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D8B2D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30" customWidth="1" min="4" max="4"/>
    <col width="20" customWidth="1" min="5" max="5"/>
    <col width="15" customWidth="1" min="6" max="6"/>
  </cols>
  <sheetData>
    <row r="1">
      <c r="A1" s="12" t="inlineStr">
        <is>
          <t>Disagreement Log</t>
        </is>
      </c>
    </row>
    <row r="2">
      <c r="A2" s="13" t="inlineStr">
        <is>
          <t>Book Reference: Chapter 6, 9 — Preserves divergent views rather than averaging them away</t>
        </is>
      </c>
    </row>
    <row r="4">
      <c r="A4" s="15" t="inlineStr">
        <is>
          <t>#</t>
        </is>
      </c>
      <c r="B4" s="15" t="inlineStr">
        <is>
          <t>Risk / Topic</t>
        </is>
      </c>
      <c r="C4" s="15" t="inlineStr">
        <is>
          <t>Position A</t>
        </is>
      </c>
      <c r="D4" s="15" t="inlineStr">
        <is>
          <t>Position B</t>
        </is>
      </c>
      <c r="E4" s="15" t="inlineStr">
        <is>
          <t>Resolution</t>
        </is>
      </c>
      <c r="F4" s="15" t="inlineStr">
        <is>
          <t>Status</t>
        </is>
      </c>
    </row>
    <row r="5">
      <c r="A5" s="20" t="n"/>
      <c r="B5" s="20" t="n"/>
      <c r="C5" s="20" t="n"/>
      <c r="D5" s="20" t="n"/>
      <c r="E5" s="20" t="n"/>
      <c r="F5" s="20" t="n"/>
    </row>
    <row r="6">
      <c r="A6" s="20" t="n"/>
      <c r="B6" s="20" t="n"/>
      <c r="C6" s="20" t="n"/>
      <c r="D6" s="20" t="n"/>
      <c r="E6" s="20" t="n"/>
      <c r="F6" s="20" t="n"/>
    </row>
    <row r="7">
      <c r="A7" s="20" t="n"/>
      <c r="B7" s="20" t="n"/>
      <c r="C7" s="20" t="n"/>
      <c r="D7" s="20" t="n"/>
      <c r="E7" s="20" t="n"/>
      <c r="F7" s="20" t="n"/>
    </row>
    <row r="8">
      <c r="A8" s="20" t="n"/>
      <c r="B8" s="20" t="n"/>
      <c r="C8" s="20" t="n"/>
      <c r="D8" s="20" t="n"/>
      <c r="E8" s="20" t="n"/>
      <c r="F8" s="20" t="n"/>
    </row>
    <row r="9">
      <c r="A9" s="20" t="n"/>
      <c r="B9" s="20" t="n"/>
      <c r="C9" s="20" t="n"/>
      <c r="D9" s="20" t="n"/>
      <c r="E9" s="20" t="n"/>
      <c r="F9" s="20" t="n"/>
    </row>
    <row r="10">
      <c r="A10" s="20" t="n"/>
      <c r="B10" s="20" t="n"/>
      <c r="C10" s="20" t="n"/>
      <c r="D10" s="20" t="n"/>
      <c r="E10" s="20" t="n"/>
      <c r="F10" s="20" t="n"/>
    </row>
    <row r="11">
      <c r="A11" s="20" t="n"/>
      <c r="B11" s="20" t="n"/>
      <c r="C11" s="20" t="n"/>
      <c r="D11" s="20" t="n"/>
      <c r="E11" s="20" t="n"/>
      <c r="F11" s="20" t="n"/>
    </row>
    <row r="12">
      <c r="A12" s="20" t="n"/>
      <c r="B12" s="20" t="n"/>
      <c r="C12" s="20" t="n"/>
      <c r="D12" s="20" t="n"/>
      <c r="E12" s="20" t="n"/>
      <c r="F12" s="20" t="n"/>
    </row>
    <row r="13">
      <c r="A13" s="20" t="n"/>
      <c r="B13" s="20" t="n"/>
      <c r="C13" s="20" t="n"/>
      <c r="D13" s="20" t="n"/>
      <c r="E13" s="20" t="n"/>
      <c r="F13" s="20" t="n"/>
    </row>
    <row r="14">
      <c r="A14" s="20" t="n"/>
      <c r="B14" s="20" t="n"/>
      <c r="C14" s="20" t="n"/>
      <c r="D14" s="20" t="n"/>
      <c r="E14" s="20" t="n"/>
      <c r="F14" s="20" t="n"/>
    </row>
    <row r="15">
      <c r="A15" s="20" t="n"/>
      <c r="B15" s="20" t="n"/>
      <c r="C15" s="20" t="n"/>
      <c r="D15" s="20" t="n"/>
      <c r="E15" s="20" t="n"/>
      <c r="F15" s="20" t="n"/>
    </row>
    <row r="16">
      <c r="A16" s="20" t="n"/>
      <c r="B16" s="20" t="n"/>
      <c r="C16" s="20" t="n"/>
      <c r="D16" s="20" t="n"/>
      <c r="E16" s="20" t="n"/>
      <c r="F16" s="20" t="n"/>
    </row>
    <row r="17">
      <c r="A17" s="20" t="n"/>
      <c r="B17" s="20" t="n"/>
      <c r="C17" s="20" t="n"/>
      <c r="D17" s="20" t="n"/>
      <c r="E17" s="20" t="n"/>
      <c r="F17" s="20" t="n"/>
    </row>
    <row r="18">
      <c r="A18" s="20" t="n"/>
      <c r="B18" s="20" t="n"/>
      <c r="C18" s="20" t="n"/>
      <c r="D18" s="20" t="n"/>
      <c r="E18" s="20" t="n"/>
      <c r="F18" s="20" t="n"/>
    </row>
    <row r="19">
      <c r="A19" s="20" t="n"/>
      <c r="B19" s="20" t="n"/>
      <c r="C19" s="20" t="n"/>
      <c r="D19" s="20" t="n"/>
      <c r="E19" s="20" t="n"/>
      <c r="F19" s="20" t="n"/>
    </row>
    <row r="20">
      <c r="A20" s="20" t="n"/>
      <c r="B20" s="20" t="n"/>
      <c r="C20" s="20" t="n"/>
      <c r="D20" s="20" t="n"/>
      <c r="E20" s="20" t="n"/>
      <c r="F20" s="20" t="n"/>
    </row>
    <row r="21">
      <c r="A21" s="20" t="n"/>
      <c r="B21" s="20" t="n"/>
      <c r="C21" s="20" t="n"/>
      <c r="D21" s="20" t="n"/>
      <c r="E21" s="20" t="n"/>
      <c r="F21" s="20" t="n"/>
    </row>
    <row r="22">
      <c r="A22" s="20" t="n"/>
      <c r="B22" s="20" t="n"/>
      <c r="C22" s="20" t="n"/>
      <c r="D22" s="20" t="n"/>
      <c r="E22" s="20" t="n"/>
      <c r="F22" s="20" t="n"/>
    </row>
    <row r="23">
      <c r="A23" s="20" t="n"/>
      <c r="B23" s="20" t="n"/>
      <c r="C23" s="20" t="n"/>
      <c r="D23" s="20" t="n"/>
      <c r="E23" s="20" t="n"/>
      <c r="F23" s="20" t="n"/>
    </row>
    <row r="24">
      <c r="A24" s="20" t="n"/>
      <c r="B24" s="20" t="n"/>
      <c r="C24" s="20" t="n"/>
      <c r="D24" s="20" t="n"/>
      <c r="E24" s="20" t="n"/>
      <c r="F24" s="20" t="n"/>
    </row>
  </sheetData>
  <dataValidations count="1">
    <dataValidation sqref="F5:F200" showDropDown="0" showInputMessage="0" showErrorMessage="0" allowBlank="1" type="list">
      <formula1>"Open,Evidence Requested,Resolved - Position A,Resolved - Position B,Escalated to CRO"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D8B2D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0" customWidth="1" min="4" max="4"/>
    <col width="15" customWidth="1" min="5" max="5"/>
  </cols>
  <sheetData>
    <row r="1">
      <c r="A1" s="12" t="inlineStr">
        <is>
          <t>Event-Driven Trigger Framework</t>
        </is>
      </c>
    </row>
    <row r="2">
      <c r="A2" s="13" t="inlineStr">
        <is>
          <t>Book Reference: Chapter 13, 16 — Six categories requiring immediate risk identification update</t>
        </is>
      </c>
    </row>
    <row r="4">
      <c r="A4" s="15" t="inlineStr">
        <is>
          <t>Trigger Category</t>
        </is>
      </c>
      <c r="B4" s="15" t="inlineStr">
        <is>
          <t>Description</t>
        </is>
      </c>
      <c r="C4" s="15" t="inlineStr">
        <is>
          <t>Examples</t>
        </is>
      </c>
      <c r="D4" s="15" t="inlineStr">
        <is>
          <t>Response Required</t>
        </is>
      </c>
      <c r="E4" s="15" t="inlineStr">
        <is>
          <t>Owner</t>
        </is>
      </c>
    </row>
    <row r="5">
      <c r="A5" s="16" t="inlineStr">
        <is>
          <t>1. Market Dislocation</t>
        </is>
      </c>
      <c r="B5" s="16" t="inlineStr">
        <is>
          <t>Significant market events affecting risk profile</t>
        </is>
      </c>
      <c r="C5" s="16" t="inlineStr">
        <is>
          <t>Interest rate shock, credit spread widening, FX crisis, equity crash</t>
        </is>
      </c>
      <c r="D5" s="16" t="inlineStr">
        <is>
          <t>Immediate risk inventory review within 48 hours</t>
        </is>
      </c>
      <c r="E5" s="17" t="inlineStr"/>
    </row>
    <row r="6">
      <c r="A6" s="16" t="inlineStr">
        <is>
          <t>2. Regulatory Change</t>
        </is>
      </c>
      <c r="B6" s="16" t="inlineStr">
        <is>
          <t>New regulation, enforcement action, or supervisory communication</t>
        </is>
      </c>
      <c r="C6" s="16" t="inlineStr">
        <is>
          <t>New capital requirements, sanctions changes, conduct findings</t>
        </is>
      </c>
      <c r="D6" s="16" t="inlineStr">
        <is>
          <t>Impact assessment within 1 week</t>
        </is>
      </c>
      <c r="E6" s="17" t="inlineStr"/>
    </row>
    <row r="7">
      <c r="A7" s="16" t="inlineStr">
        <is>
          <t>3. Peer Event</t>
        </is>
      </c>
      <c r="B7" s="16" t="inlineStr">
        <is>
          <t>Material loss or failure at comparable institution</t>
        </is>
      </c>
      <c r="C7" s="16" t="inlineStr">
        <is>
          <t>Peer bank failure, industry-wide fraud discovery, systemic event</t>
        </is>
      </c>
      <c r="D7" s="16" t="inlineStr">
        <is>
          <t>Relevance assessment within 1 week</t>
        </is>
      </c>
      <c r="E7" s="17" t="inlineStr"/>
    </row>
    <row r="8">
      <c r="A8" s="16" t="inlineStr">
        <is>
          <t>4. Internal Incident</t>
        </is>
      </c>
      <c r="B8" s="16" t="inlineStr">
        <is>
          <t>Material operational loss, near-miss, or control failure</t>
        </is>
      </c>
      <c r="C8" s="16" t="inlineStr">
        <is>
          <t>System outage, fraud attempt, significant error, compliance breach</t>
        </is>
      </c>
      <c r="D8" s="16" t="inlineStr">
        <is>
          <t>Root cause analysis + forward-looking assessment</t>
        </is>
      </c>
      <c r="E8" s="17" t="inlineStr"/>
    </row>
    <row r="9">
      <c r="A9" s="16" t="inlineStr">
        <is>
          <t>5. Strategic Change</t>
        </is>
      </c>
      <c r="B9" s="16" t="inlineStr">
        <is>
          <t>M&amp;A, new product/market entry, business model change</t>
        </is>
      </c>
      <c r="C9" s="16" t="inlineStr">
        <is>
          <t>Acquisition, new geography, product launch, major outsourcing</t>
        </is>
      </c>
      <c r="D9" s="16" t="inlineStr">
        <is>
          <t>Pre-decision risk assessment using methodology</t>
        </is>
      </c>
      <c r="E9" s="17" t="inlineStr"/>
    </row>
    <row r="10">
      <c r="A10" s="16" t="inlineStr">
        <is>
          <t>6. External Environment Shift</t>
        </is>
      </c>
      <c r="B10" s="16" t="inlineStr">
        <is>
          <t>Geopolitical, macroeconomic, or climate event</t>
        </is>
      </c>
      <c r="C10" s="16" t="inlineStr">
        <is>
          <t>War, pandemic, sovereign crisis, natural disaster</t>
        </is>
      </c>
      <c r="D10" s="16" t="inlineStr">
        <is>
          <t>PESTLE refresh + workshop within 2 weeks</t>
        </is>
      </c>
      <c r="E10" s="1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2D8B2D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2" t="inlineStr">
        <is>
          <t>Process Performance Indicators</t>
        </is>
      </c>
    </row>
    <row r="2">
      <c r="A2" s="13" t="inlineStr">
        <is>
          <t>Book Reference: Chapter 3, 12, 13 — KPIs tracking the process itself</t>
        </is>
      </c>
    </row>
    <row r="4">
      <c r="A4" s="15" t="inlineStr">
        <is>
          <t>Indicator</t>
        </is>
      </c>
      <c r="B4" s="15" t="inlineStr">
        <is>
          <t>Target</t>
        </is>
      </c>
      <c r="C4" s="15" t="inlineStr">
        <is>
          <t>Q1 Actual</t>
        </is>
      </c>
      <c r="D4" s="15" t="inlineStr">
        <is>
          <t>Q2 Actual</t>
        </is>
      </c>
      <c r="E4" s="15" t="inlineStr">
        <is>
          <t>Q3 Actual</t>
        </is>
      </c>
      <c r="F4" s="15" t="inlineStr">
        <is>
          <t>Q4 Actual</t>
        </is>
      </c>
    </row>
    <row r="5">
      <c r="A5" s="16" t="inlineStr">
        <is>
          <t>Bottom-up submission completion rate (%)</t>
        </is>
      </c>
      <c r="B5" s="16" t="inlineStr">
        <is>
          <t>100%</t>
        </is>
      </c>
      <c r="C5" s="17" t="inlineStr"/>
      <c r="D5" s="17" t="inlineStr"/>
      <c r="E5" s="17" t="inlineStr"/>
      <c r="F5" s="17" t="inlineStr"/>
    </row>
    <row r="6">
      <c r="A6" s="16" t="inlineStr">
        <is>
          <t>Average days to complete bottom-up submissions</t>
        </is>
      </c>
      <c r="B6" s="16" t="inlineStr">
        <is>
          <t>≤ 15 days</t>
        </is>
      </c>
      <c r="C6" s="17" t="inlineStr"/>
      <c r="D6" s="17" t="inlineStr"/>
      <c r="E6" s="17" t="inlineStr"/>
      <c r="F6" s="17" t="inlineStr"/>
    </row>
    <row r="7">
      <c r="A7" s="16" t="inlineStr">
        <is>
          <t>Workshop attendance rate (% of required participants)</t>
        </is>
      </c>
      <c r="B7" s="16" t="inlineStr">
        <is>
          <t>≥ 90%</t>
        </is>
      </c>
      <c r="C7" s="17" t="inlineStr"/>
      <c r="D7" s="17" t="inlineStr"/>
      <c r="E7" s="17" t="inlineStr"/>
      <c r="F7" s="17" t="inlineStr"/>
    </row>
    <row r="8">
      <c r="A8" s="16" t="inlineStr">
        <is>
          <t>Gap analysis completion within deadline</t>
        </is>
      </c>
      <c r="B8" s="16" t="inlineStr">
        <is>
          <t>100%</t>
        </is>
      </c>
      <c r="C8" s="17" t="inlineStr"/>
      <c r="D8" s="17" t="inlineStr"/>
      <c r="E8" s="17" t="inlineStr"/>
      <c r="F8" s="17" t="inlineStr"/>
    </row>
    <row r="9">
      <c r="A9" s="16" t="inlineStr">
        <is>
          <t>Risk profiles updated within 30 days of assessment</t>
        </is>
      </c>
      <c r="B9" s="16" t="inlineStr">
        <is>
          <t>100%</t>
        </is>
      </c>
      <c r="C9" s="17" t="inlineStr"/>
      <c r="D9" s="17" t="inlineStr"/>
      <c r="E9" s="17" t="inlineStr"/>
      <c r="F9" s="17" t="inlineStr"/>
    </row>
    <row r="10">
      <c r="A10" s="16" t="inlineStr">
        <is>
          <t>KRI reporting timeliness (% on time)</t>
        </is>
      </c>
      <c r="B10" s="16" t="inlineStr">
        <is>
          <t>≥ 95%</t>
        </is>
      </c>
      <c r="C10" s="17" t="inlineStr"/>
      <c r="D10" s="17" t="inlineStr"/>
      <c r="E10" s="17" t="inlineStr"/>
      <c r="F10" s="17" t="inlineStr"/>
    </row>
    <row r="11">
      <c r="A11" s="16" t="inlineStr">
        <is>
          <t>Data Quality: % of material risks rated High</t>
        </is>
      </c>
      <c r="B11" s="16" t="inlineStr">
        <is>
          <t>≥ 60%</t>
        </is>
      </c>
      <c r="C11" s="17" t="inlineStr"/>
      <c r="D11" s="17" t="inlineStr"/>
      <c r="E11" s="17" t="inlineStr"/>
      <c r="F11" s="17" t="inlineStr"/>
    </row>
    <row r="12">
      <c r="A12" s="16" t="inlineStr">
        <is>
          <t>Emerging risks identified per cycle</t>
        </is>
      </c>
      <c r="B12" s="16" t="inlineStr">
        <is>
          <t>≥ 3</t>
        </is>
      </c>
      <c r="C12" s="17" t="inlineStr"/>
      <c r="D12" s="17" t="inlineStr"/>
      <c r="E12" s="17" t="inlineStr"/>
      <c r="F12" s="17" t="inlineStr"/>
    </row>
    <row r="13">
      <c r="A13" s="16" t="inlineStr">
        <is>
          <t>Scoring calibration variance (cross-BU)</t>
        </is>
      </c>
      <c r="B13" s="16" t="inlineStr">
        <is>
          <t>≤ 0.5</t>
        </is>
      </c>
      <c r="C13" s="17" t="inlineStr"/>
      <c r="D13" s="17" t="inlineStr"/>
      <c r="E13" s="17" t="inlineStr"/>
      <c r="F13" s="17" t="inlineStr"/>
    </row>
    <row r="14">
      <c r="A14" s="16" t="inlineStr">
        <is>
          <t>Internal Audit findings outstanding (count)</t>
        </is>
      </c>
      <c r="B14" s="16" t="inlineStr">
        <is>
          <t>0</t>
        </is>
      </c>
      <c r="C14" s="17" t="inlineStr"/>
      <c r="D14" s="17" t="inlineStr"/>
      <c r="E14" s="17" t="inlineStr"/>
      <c r="F14" s="17" t="inlineStr"/>
    </row>
    <row r="15">
      <c r="A15" s="16" t="inlineStr">
        <is>
          <t>Days from event trigger to risk review completion</t>
        </is>
      </c>
      <c r="B15" s="16" t="inlineStr">
        <is>
          <t>≤ 5 days</t>
        </is>
      </c>
      <c r="C15" s="17" t="inlineStr"/>
      <c r="D15" s="17" t="inlineStr"/>
      <c r="E15" s="17" t="inlineStr"/>
      <c r="F15" s="17" t="inlineStr"/>
    </row>
    <row r="16">
      <c r="A16" s="16" t="inlineStr">
        <is>
          <t>Board report delivered on schedule</t>
        </is>
      </c>
      <c r="B16" s="16" t="inlineStr">
        <is>
          <t>100%</t>
        </is>
      </c>
      <c r="C16" s="17" t="inlineStr"/>
      <c r="D16" s="17" t="inlineStr"/>
      <c r="E16" s="17" t="inlineStr"/>
      <c r="F16" s="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2D8B2D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2" t="inlineStr">
        <is>
          <t>Training Programme (Five-Level)</t>
        </is>
      </c>
    </row>
    <row r="2">
      <c r="A2" s="13" t="inlineStr">
        <is>
          <t>Book Reference: Chapter 13 — Structured training by audience</t>
        </is>
      </c>
    </row>
    <row r="4">
      <c r="A4" s="15" t="inlineStr">
        <is>
          <t>Audience</t>
        </is>
      </c>
      <c r="B4" s="15" t="inlineStr">
        <is>
          <t>Content</t>
        </is>
      </c>
      <c r="C4" s="15" t="inlineStr">
        <is>
          <t>Frequency</t>
        </is>
      </c>
      <c r="D4" s="15" t="inlineStr">
        <is>
          <t>Delivery</t>
        </is>
      </c>
      <c r="E4" s="15" t="inlineStr">
        <is>
          <t>Status</t>
        </is>
      </c>
    </row>
    <row r="5">
      <c r="A5" s="16" t="inlineStr">
        <is>
          <t>Board / Board Risk Committee</t>
        </is>
      </c>
      <c r="B5" s="16" t="inlineStr">
        <is>
          <t>Methodology overview, how to challenge risk assessments, appetite framework, principal risk report interpretation</t>
        </is>
      </c>
      <c r="C5" s="16" t="inlineStr">
        <is>
          <t>Annual + ad hoc</t>
        </is>
      </c>
      <c r="D5" s="16" t="inlineStr">
        <is>
          <t>Presentation</t>
        </is>
      </c>
      <c r="E5" s="17" t="inlineStr"/>
    </row>
    <row r="6">
      <c r="A6" s="16" t="inlineStr">
        <is>
          <t>CRO Function / Risk Identification Team</t>
        </is>
      </c>
      <c r="B6" s="16" t="inlineStr">
        <is>
          <t>Full methodology, scoring calibration, facilitation skills, reconciliation process, regulatory requirements</t>
        </is>
      </c>
      <c r="C6" s="16" t="inlineStr">
        <is>
          <t>Annual + quarterly refresher</t>
        </is>
      </c>
      <c r="D6" s="16" t="inlineStr">
        <is>
          <t>Workshop</t>
        </is>
      </c>
      <c r="E6" s="17" t="inlineStr"/>
    </row>
    <row r="7">
      <c r="A7" s="16" t="inlineStr">
        <is>
          <t>Business Unit Risk Leads</t>
        </is>
      </c>
      <c r="B7" s="16" t="inlineStr">
        <is>
          <t>Bottom-up template completion, specialist assessments, data quality standards, KRI design</t>
        </is>
      </c>
      <c r="C7" s="16" t="inlineStr">
        <is>
          <t>Annual</t>
        </is>
      </c>
      <c r="D7" s="16" t="inlineStr">
        <is>
          <t>Workshop</t>
        </is>
      </c>
      <c r="E7" s="17" t="inlineStr"/>
    </row>
    <row r="8">
      <c r="A8" s="16" t="inlineStr">
        <is>
          <t>Front-Line Employees</t>
        </is>
      </c>
      <c r="B8" s="16" t="inlineStr">
        <is>
          <t>Risk awareness, how to identify and report risks, escalation process, anonymous channels</t>
        </is>
      </c>
      <c r="C8" s="16" t="inlineStr">
        <is>
          <t>Annual</t>
        </is>
      </c>
      <c r="D8" s="16" t="inlineStr">
        <is>
          <t>e-Learning</t>
        </is>
      </c>
      <c r="E8" s="17" t="inlineStr"/>
    </row>
    <row r="9">
      <c r="A9" s="16" t="inlineStr">
        <is>
          <t>Internal Audit</t>
        </is>
      </c>
      <c r="B9" s="16" t="inlineStr">
        <is>
          <t>Methodology in detail, audit criteria, seven-area programme, independence requirements</t>
        </is>
      </c>
      <c r="C9" s="16" t="inlineStr">
        <is>
          <t>Annual</t>
        </is>
      </c>
      <c r="D9" s="16" t="inlineStr">
        <is>
          <t>Workshop</t>
        </is>
      </c>
      <c r="E9" s="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2D8B2D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15" customWidth="1" min="4" max="4"/>
    <col width="25" customWidth="1" min="5" max="5"/>
    <col width="15" customWidth="1" min="6" max="6"/>
  </cols>
  <sheetData>
    <row r="1">
      <c r="A1" s="12" t="inlineStr">
        <is>
          <t>Internal Audit Annual Programme (Seven Areas)</t>
        </is>
      </c>
    </row>
    <row r="2">
      <c r="A2" s="13" t="inlineStr">
        <is>
          <t>Book Reference: Chapter 13 — Independent assurance over risk identification</t>
        </is>
      </c>
    </row>
    <row r="4">
      <c r="A4" s="15" t="inlineStr">
        <is>
          <t>Area</t>
        </is>
      </c>
      <c r="B4" s="15" t="inlineStr">
        <is>
          <t>Audit Domain</t>
        </is>
      </c>
      <c r="C4" s="15" t="inlineStr">
        <is>
          <t>Key Questions</t>
        </is>
      </c>
      <c r="D4" s="15" t="inlineStr">
        <is>
          <t>Rating</t>
        </is>
      </c>
      <c r="E4" s="15" t="inlineStr">
        <is>
          <t>Findings</t>
        </is>
      </c>
      <c r="F4" s="15" t="inlineStr">
        <is>
          <t>Action Due</t>
        </is>
      </c>
    </row>
    <row r="5">
      <c r="A5" s="16" t="n">
        <v>1</v>
      </c>
      <c r="B5" s="16" t="inlineStr">
        <is>
          <t>Completeness</t>
        </is>
      </c>
      <c r="C5" s="16" t="inlineStr">
        <is>
          <t>Does the inventory cover all material risks? Are there gaps vs taxonomy, regulatory expectations, industry losses?</t>
        </is>
      </c>
      <c r="D5" s="17" t="inlineStr"/>
      <c r="E5" s="17" t="inlineStr"/>
      <c r="F5" s="17" t="inlineStr"/>
    </row>
    <row r="6">
      <c r="A6" s="16" t="n">
        <v>2</v>
      </c>
      <c r="B6" s="16" t="inlineStr">
        <is>
          <t>Quality</t>
        </is>
      </c>
      <c r="C6" s="16" t="inlineStr">
        <is>
          <t>Are risk definitions clear? Are scores evidence-based? Is the methodology consistently applied?</t>
        </is>
      </c>
      <c r="D6" s="17" t="inlineStr"/>
      <c r="E6" s="17" t="inlineStr"/>
      <c r="F6" s="17" t="inlineStr"/>
    </row>
    <row r="7">
      <c r="A7" s="16" t="n">
        <v>3</v>
      </c>
      <c r="B7" s="16" t="inlineStr">
        <is>
          <t>Reconciliation</t>
        </is>
      </c>
      <c r="C7" s="16" t="inlineStr">
        <is>
          <t>Was the top-down / bottom-up reconciliation documented? Were gaps resolved? Was CRO sign-off obtained?</t>
        </is>
      </c>
      <c r="D7" s="17" t="inlineStr"/>
      <c r="E7" s="17" t="inlineStr"/>
      <c r="F7" s="17" t="inlineStr"/>
    </row>
    <row r="8">
      <c r="A8" s="16" t="n">
        <v>4</v>
      </c>
      <c r="B8" s="16" t="inlineStr">
        <is>
          <t>Data Quality</t>
        </is>
      </c>
      <c r="C8" s="16" t="inlineStr">
        <is>
          <t>Are data quality ratings accurate? Are conservatism adjustments applied where required?</t>
        </is>
      </c>
      <c r="D8" s="17" t="inlineStr"/>
      <c r="E8" s="17" t="inlineStr"/>
      <c r="F8" s="17" t="inlineStr"/>
    </row>
    <row r="9">
      <c r="A9" s="16" t="n">
        <v>5</v>
      </c>
      <c r="B9" s="16" t="inlineStr">
        <is>
          <t>Documentation</t>
        </is>
      </c>
      <c r="C9" s="16" t="inlineStr">
        <is>
          <t>Are risk profiles complete for all material risks? Is the audit trail maintained? Are changes tracked?</t>
        </is>
      </c>
      <c r="D9" s="17" t="inlineStr"/>
      <c r="E9" s="17" t="inlineStr"/>
      <c r="F9" s="17" t="inlineStr"/>
    </row>
    <row r="10">
      <c r="A10" s="16" t="n">
        <v>6</v>
      </c>
      <c r="B10" s="16" t="inlineStr">
        <is>
          <t>Integration</t>
        </is>
      </c>
      <c r="C10" s="16" t="inlineStr">
        <is>
          <t>Does the inventory feed capital planning? Are stress scenario linkages documented? Is Board reporting complete?</t>
        </is>
      </c>
      <c r="D10" s="17" t="inlineStr"/>
      <c r="E10" s="17" t="inlineStr"/>
      <c r="F10" s="17" t="inlineStr"/>
    </row>
    <row r="11">
      <c r="A11" s="16" t="n">
        <v>7</v>
      </c>
      <c r="B11" s="16" t="inlineStr">
        <is>
          <t>Continual Improvement</t>
        </is>
      </c>
      <c r="C11" s="16" t="inlineStr">
        <is>
          <t>Are lessons learned actioned? Are process KPIs tracked? Has the taxonomy been updated?</t>
        </is>
      </c>
      <c r="D11" s="17" t="inlineStr"/>
      <c r="E11" s="17" t="inlineStr"/>
      <c r="F11" s="17" t="inlineStr"/>
    </row>
  </sheetData>
  <dataValidations count="1">
    <dataValidation sqref="D5:D20" showDropDown="0" showInputMessage="0" showErrorMessage="0" allowBlank="1" type="list">
      <formula1>"Satisfactory,Needs Improvement,Unsatisfactory"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2D8B2D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Regulatory Traceability Matrix</t>
        </is>
      </c>
    </row>
    <row r="2">
      <c r="A2" s="13" t="inlineStr">
        <is>
          <t>Book Reference: Chapter 15 — Maps methodology phases to regulatory requirements</t>
        </is>
      </c>
    </row>
    <row r="4">
      <c r="A4" s="15" t="inlineStr">
        <is>
          <t>Regulatory Framework</t>
        </is>
      </c>
      <c r="B4" s="15" t="inlineStr">
        <is>
          <t>Phase 1
Foundation</t>
        </is>
      </c>
      <c r="C4" s="15" t="inlineStr">
        <is>
          <t>Phase 2
Identification</t>
        </is>
      </c>
      <c r="D4" s="15" t="inlineStr">
        <is>
          <t>Phase 3
Reconciliation</t>
        </is>
      </c>
      <c r="E4" s="15" t="inlineStr">
        <is>
          <t>Phase 4
Assessment</t>
        </is>
      </c>
      <c r="F4" s="15" t="inlineStr">
        <is>
          <t>Phase 5
Interaction</t>
        </is>
      </c>
      <c r="G4" s="15" t="inlineStr">
        <is>
          <t>Phase 6
Documentation</t>
        </is>
      </c>
    </row>
    <row r="5">
      <c r="A5" s="16" t="inlineStr">
        <is>
          <t>ISO 31000:2018</t>
        </is>
      </c>
      <c r="B5" s="17" t="inlineStr"/>
      <c r="C5" s="17" t="inlineStr"/>
      <c r="D5" s="17" t="inlineStr"/>
      <c r="E5" s="17" t="inlineStr"/>
      <c r="F5" s="17" t="inlineStr"/>
      <c r="G5" s="17" t="inlineStr"/>
    </row>
    <row r="6">
      <c r="A6" s="16" t="inlineStr">
        <is>
          <t>ISO 31010:2019</t>
        </is>
      </c>
      <c r="B6" s="17" t="inlineStr"/>
      <c r="C6" s="17" t="inlineStr"/>
      <c r="D6" s="17" t="inlineStr"/>
      <c r="E6" s="17" t="inlineStr"/>
      <c r="F6" s="17" t="inlineStr"/>
      <c r="G6" s="17" t="inlineStr"/>
    </row>
    <row r="7">
      <c r="A7" s="16" t="inlineStr">
        <is>
          <t>COSO ERM (2017)</t>
        </is>
      </c>
      <c r="B7" s="17" t="inlineStr"/>
      <c r="C7" s="17" t="inlineStr"/>
      <c r="D7" s="17" t="inlineStr"/>
      <c r="E7" s="17" t="inlineStr"/>
      <c r="F7" s="17" t="inlineStr"/>
      <c r="G7" s="17" t="inlineStr"/>
    </row>
    <row r="8">
      <c r="A8" s="16" t="inlineStr">
        <is>
          <t>BCBS Corporate Governance (2015)</t>
        </is>
      </c>
      <c r="B8" s="17" t="inlineStr"/>
      <c r="C8" s="17" t="inlineStr"/>
      <c r="D8" s="17" t="inlineStr"/>
      <c r="E8" s="17" t="inlineStr"/>
      <c r="F8" s="17" t="inlineStr"/>
      <c r="G8" s="17" t="inlineStr"/>
    </row>
    <row r="9">
      <c r="A9" s="16" t="inlineStr">
        <is>
          <t>PRA SS31/15 (UK)</t>
        </is>
      </c>
      <c r="B9" s="17" t="inlineStr"/>
      <c r="C9" s="17" t="inlineStr"/>
      <c r="D9" s="17" t="inlineStr"/>
      <c r="E9" s="17" t="inlineStr"/>
      <c r="F9" s="17" t="inlineStr"/>
      <c r="G9" s="17" t="inlineStr"/>
    </row>
    <row r="10">
      <c r="A10" s="16" t="inlineStr">
        <is>
          <t>Fed SR 15-18 (US)</t>
        </is>
      </c>
      <c r="B10" s="17" t="inlineStr"/>
      <c r="C10" s="17" t="inlineStr"/>
      <c r="D10" s="17" t="inlineStr"/>
      <c r="E10" s="17" t="inlineStr"/>
      <c r="F10" s="17" t="inlineStr"/>
      <c r="G10" s="17" t="inlineStr"/>
    </row>
    <row r="11">
      <c r="A11" s="16" t="inlineStr">
        <is>
          <t>ECB Guide to ICAAP (EU)</t>
        </is>
      </c>
      <c r="B11" s="17" t="inlineStr"/>
      <c r="C11" s="17" t="inlineStr"/>
      <c r="D11" s="17" t="inlineStr"/>
      <c r="E11" s="17" t="inlineStr"/>
      <c r="F11" s="17" t="inlineStr"/>
      <c r="G11" s="17" t="inlineStr"/>
    </row>
    <row r="12">
      <c r="A12" s="16" t="inlineStr">
        <is>
          <t>EBA GL on ICAAP/ILAAP</t>
        </is>
      </c>
      <c r="B12" s="17" t="inlineStr"/>
      <c r="C12" s="17" t="inlineStr"/>
      <c r="D12" s="17" t="inlineStr"/>
      <c r="E12" s="17" t="inlineStr"/>
      <c r="F12" s="17" t="inlineStr"/>
      <c r="G12" s="17" t="inlineStr"/>
    </row>
    <row r="13">
      <c r="A13" s="16" t="inlineStr">
        <is>
          <t>CRD V / CRR II</t>
        </is>
      </c>
      <c r="B13" s="17" t="inlineStr"/>
      <c r="C13" s="17" t="inlineStr"/>
      <c r="D13" s="17" t="inlineStr"/>
      <c r="E13" s="17" t="inlineStr"/>
      <c r="F13" s="17" t="inlineStr"/>
      <c r="G13" s="17" t="inlineStr"/>
    </row>
    <row r="14">
      <c r="A14" s="16" t="inlineStr">
        <is>
          <t>DORA (EU)</t>
        </is>
      </c>
      <c r="B14" s="17" t="inlineStr"/>
      <c r="C14" s="17" t="inlineStr"/>
      <c r="D14" s="17" t="inlineStr"/>
      <c r="E14" s="17" t="inlineStr"/>
      <c r="F14" s="17" t="inlineStr"/>
      <c r="G14" s="17" t="inlineStr"/>
    </row>
    <row r="15">
      <c r="A15" s="16" t="inlineStr">
        <is>
          <t>EBA GL on ICT Risk</t>
        </is>
      </c>
      <c r="B15" s="17" t="inlineStr"/>
      <c r="C15" s="17" t="inlineStr"/>
      <c r="D15" s="17" t="inlineStr"/>
      <c r="E15" s="17" t="inlineStr"/>
      <c r="F15" s="17" t="inlineStr"/>
      <c r="G15" s="17" t="inlineStr"/>
    </row>
    <row r="16">
      <c r="A16" s="16" t="inlineStr">
        <is>
          <t>EBA Outsourcing Guidelines</t>
        </is>
      </c>
      <c r="B16" s="17" t="inlineStr"/>
      <c r="C16" s="17" t="inlineStr"/>
      <c r="D16" s="17" t="inlineStr"/>
      <c r="E16" s="17" t="inlineStr"/>
      <c r="F16" s="17" t="inlineStr"/>
      <c r="G16" s="17" t="inlineStr"/>
    </row>
    <row r="17">
      <c r="A17" s="16" t="inlineStr">
        <is>
          <t>EU AMLD6</t>
        </is>
      </c>
      <c r="B17" s="17" t="inlineStr"/>
      <c r="C17" s="17" t="inlineStr"/>
      <c r="D17" s="17" t="inlineStr"/>
      <c r="E17" s="17" t="inlineStr"/>
      <c r="F17" s="17" t="inlineStr"/>
      <c r="G17" s="17" t="inlineStr"/>
    </row>
    <row r="18">
      <c r="A18" s="16" t="inlineStr">
        <is>
          <t>FCA SYSC (UK)</t>
        </is>
      </c>
      <c r="B18" s="17" t="inlineStr"/>
      <c r="C18" s="17" t="inlineStr"/>
      <c r="D18" s="17" t="inlineStr"/>
      <c r="E18" s="17" t="inlineStr"/>
      <c r="F18" s="17" t="inlineStr"/>
      <c r="G18" s="17" t="inlineStr"/>
    </row>
    <row r="19">
      <c r="A19" s="16" t="inlineStr">
        <is>
          <t>SM&amp;CR (UK)</t>
        </is>
      </c>
      <c r="B19" s="17" t="inlineStr"/>
      <c r="C19" s="17" t="inlineStr"/>
      <c r="D19" s="17" t="inlineStr"/>
      <c r="E19" s="17" t="inlineStr"/>
      <c r="F19" s="17" t="inlineStr"/>
      <c r="G19" s="17" t="inlineStr"/>
    </row>
    <row r="20">
      <c r="A20" s="16" t="inlineStr">
        <is>
          <t>APRA CPS 220 (AU)</t>
        </is>
      </c>
      <c r="B20" s="17" t="inlineStr"/>
      <c r="C20" s="17" t="inlineStr"/>
      <c r="D20" s="17" t="inlineStr"/>
      <c r="E20" s="17" t="inlineStr"/>
      <c r="F20" s="17" t="inlineStr"/>
      <c r="G20" s="17" t="inlineStr"/>
    </row>
  </sheetData>
  <dataValidations count="1">
    <dataValidation sqref="B5:G20" showDropDown="0" showInputMessage="0" showErrorMessage="0" allowBlank="1" type="list">
      <formula1>"✓ Direct,✓ Indirect,◐ Partial,— N/A"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2D8B2D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35" customWidth="1" min="4" max="4"/>
    <col width="20" customWidth="1" min="5" max="5"/>
    <col width="15" customWidth="1" min="6" max="6"/>
  </cols>
  <sheetData>
    <row r="1">
      <c r="A1" s="12" t="inlineStr">
        <is>
          <t>Lessons-Learned Review</t>
        </is>
      </c>
    </row>
    <row r="2">
      <c r="A2" s="13" t="inlineStr">
        <is>
          <t>Book Reference: Chapter 3, 13 — Annual review of process effectiveness</t>
        </is>
      </c>
    </row>
    <row r="4">
      <c r="A4" s="15" t="inlineStr">
        <is>
          <t>#</t>
        </is>
      </c>
      <c r="B4" s="15" t="inlineStr">
        <is>
          <t>Area</t>
        </is>
      </c>
      <c r="C4" s="15" t="inlineStr">
        <is>
          <t>What Worked Well</t>
        </is>
      </c>
      <c r="D4" s="15" t="inlineStr">
        <is>
          <t>What Needs Improvement</t>
        </is>
      </c>
      <c r="E4" s="15" t="inlineStr">
        <is>
          <t>Action / Owner</t>
        </is>
      </c>
      <c r="F4" s="15" t="inlineStr">
        <is>
          <t>Status</t>
        </is>
      </c>
    </row>
    <row r="5">
      <c r="A5" s="16" t="n">
        <v>1</v>
      </c>
      <c r="B5" s="16" t="inlineStr">
        <is>
          <t>Workshop Design &amp; Facilitation</t>
        </is>
      </c>
      <c r="C5" s="17" t="inlineStr"/>
      <c r="D5" s="17" t="inlineStr"/>
      <c r="E5" s="17" t="inlineStr"/>
      <c r="F5" s="17" t="inlineStr"/>
    </row>
    <row r="6">
      <c r="A6" s="16" t="n">
        <v>2</v>
      </c>
      <c r="B6" s="16" t="inlineStr">
        <is>
          <t>Bottom-Up Template Quality</t>
        </is>
      </c>
      <c r="C6" s="17" t="inlineStr"/>
      <c r="D6" s="17" t="inlineStr"/>
      <c r="E6" s="17" t="inlineStr"/>
      <c r="F6" s="17" t="inlineStr"/>
    </row>
    <row r="7">
      <c r="A7" s="16" t="n">
        <v>3</v>
      </c>
      <c r="B7" s="16" t="inlineStr">
        <is>
          <t>Reconciliation Process</t>
        </is>
      </c>
      <c r="C7" s="17" t="inlineStr"/>
      <c r="D7" s="17" t="inlineStr"/>
      <c r="E7" s="17" t="inlineStr"/>
      <c r="F7" s="17" t="inlineStr"/>
    </row>
    <row r="8">
      <c r="A8" s="16" t="n">
        <v>4</v>
      </c>
      <c r="B8" s="16" t="inlineStr">
        <is>
          <t>Scoring Consistency</t>
        </is>
      </c>
      <c r="C8" s="17" t="inlineStr"/>
      <c r="D8" s="17" t="inlineStr"/>
      <c r="E8" s="17" t="inlineStr"/>
      <c r="F8" s="17" t="inlineStr"/>
    </row>
    <row r="9">
      <c r="A9" s="16" t="n">
        <v>5</v>
      </c>
      <c r="B9" s="16" t="inlineStr">
        <is>
          <t>Data Quality</t>
        </is>
      </c>
      <c r="C9" s="17" t="inlineStr"/>
      <c r="D9" s="17" t="inlineStr"/>
      <c r="E9" s="17" t="inlineStr"/>
      <c r="F9" s="17" t="inlineStr"/>
    </row>
    <row r="10">
      <c r="A10" s="16" t="n">
        <v>6</v>
      </c>
      <c r="B10" s="16" t="inlineStr">
        <is>
          <t>Board Reporting</t>
        </is>
      </c>
      <c r="C10" s="17" t="inlineStr"/>
      <c r="D10" s="17" t="inlineStr"/>
      <c r="E10" s="17" t="inlineStr"/>
      <c r="F10" s="17" t="inlineStr"/>
    </row>
    <row r="11">
      <c r="A11" s="16" t="n">
        <v>7</v>
      </c>
      <c r="B11" s="16" t="inlineStr">
        <is>
          <t>Regulatory Alignment</t>
        </is>
      </c>
      <c r="C11" s="17" t="inlineStr"/>
      <c r="D11" s="17" t="inlineStr"/>
      <c r="E11" s="17" t="inlineStr"/>
      <c r="F11" s="17" t="inlineStr"/>
    </row>
    <row r="12">
      <c r="A12" s="16" t="n">
        <v>8</v>
      </c>
      <c r="B12" s="16" t="inlineStr">
        <is>
          <t>Technology Support</t>
        </is>
      </c>
      <c r="C12" s="17" t="inlineStr"/>
      <c r="D12" s="17" t="inlineStr"/>
      <c r="E12" s="17" t="inlineStr"/>
      <c r="F12" s="17" t="inlineStr"/>
    </row>
    <row r="13">
      <c r="A13" s="16" t="n">
        <v>9</v>
      </c>
      <c r="B13" s="16" t="inlineStr">
        <is>
          <t>Stakeholder Engagement</t>
        </is>
      </c>
      <c r="C13" s="17" t="inlineStr"/>
      <c r="D13" s="17" t="inlineStr"/>
      <c r="E13" s="17" t="inlineStr"/>
      <c r="F13" s="17" t="inlineStr"/>
    </row>
    <row r="14">
      <c r="A14" s="16" t="n">
        <v>10</v>
      </c>
      <c r="B14" s="16" t="inlineStr">
        <is>
          <t>Timeline / Timeliness</t>
        </is>
      </c>
      <c r="C14" s="17" t="inlineStr"/>
      <c r="D14" s="17" t="inlineStr"/>
      <c r="E14" s="17" t="inlineStr"/>
      <c r="F14" s="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1B2A4A"/>
    <outlinePr summaryBelow="1" summaryRight="1"/>
    <pageSetUpPr/>
  </sheetPr>
  <dimension ref="A1:I1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8" customWidth="1" min="4" max="4"/>
    <col width="50" customWidth="1" min="5" max="5"/>
    <col width="18" customWidth="1" min="6" max="6"/>
    <col width="14" customWidth="1" min="7" max="7"/>
    <col width="24" customWidth="1" min="8" max="8"/>
    <col width="14" customWidth="1" min="9" max="9"/>
  </cols>
  <sheetData>
    <row r="1">
      <c r="A1" s="12" t="inlineStr">
        <is>
          <t>Industry Loss Database (179 Events)</t>
        </is>
      </c>
    </row>
    <row r="2">
      <c r="A2" s="13" t="inlineStr">
        <is>
          <t>Book Reference: Chapter 16, Appendix A — Empirical foundation for the methodology</t>
        </is>
      </c>
    </row>
    <row r="3">
      <c r="A3" s="14" t="inlineStr">
        <is>
          <t>179 bank and financial institution loss events spanning 35 countries and six decades. Use Excel auto-filter to sort and filter by any column. USD ($M) column enables numeric sorting by loss magnitude.</t>
        </is>
      </c>
    </row>
    <row r="5">
      <c r="A5" s="15" t="inlineStr">
        <is>
          <t>#</t>
        </is>
      </c>
      <c r="B5" s="15" t="inlineStr">
        <is>
          <t>Institution</t>
        </is>
      </c>
      <c r="C5" s="15" t="inlineStr">
        <is>
          <t>Country</t>
        </is>
      </c>
      <c r="D5" s="15" t="inlineStr">
        <is>
          <t>Year</t>
        </is>
      </c>
      <c r="E5" s="15" t="inlineStr">
        <is>
          <t>Risk Event</t>
        </is>
      </c>
      <c r="F5" s="15" t="inlineStr">
        <is>
          <t>L1 Category</t>
        </is>
      </c>
      <c r="G5" s="15" t="inlineStr">
        <is>
          <t>COSO</t>
        </is>
      </c>
      <c r="H5" s="15" t="inlineStr">
        <is>
          <t>Est. Loss (Original)</t>
        </is>
      </c>
      <c r="I5" s="15" t="inlineStr">
        <is>
          <t>USD ($M)</t>
        </is>
      </c>
    </row>
    <row r="6">
      <c r="A6" s="23" t="n">
        <v>1</v>
      </c>
      <c r="B6" s="16" t="inlineStr">
        <is>
          <t>Malaysia Development Berhad (Malaysia)</t>
        </is>
      </c>
      <c r="C6" s="16" t="inlineStr">
        <is>
          <t>Malaysia</t>
        </is>
      </c>
      <c r="D6" s="23" t="n">
        <v>2015</v>
      </c>
      <c r="E6" s="16" t="inlineStr">
        <is>
          <t>Fraud and Money Laundering</t>
        </is>
      </c>
      <c r="F6" s="16" t="inlineStr">
        <is>
          <t>Operational Risk</t>
        </is>
      </c>
      <c r="G6" s="16" t="inlineStr">
        <is>
          <t>Compliance</t>
        </is>
      </c>
      <c r="H6" s="16" t="inlineStr">
        <is>
          <t>$4.5 billion</t>
        </is>
      </c>
      <c r="I6" s="34" t="n">
        <v>4500</v>
      </c>
    </row>
    <row r="7">
      <c r="A7" s="35" t="n">
        <v>2</v>
      </c>
      <c r="B7" s="36" t="inlineStr">
        <is>
          <t>Adelphia Communications</t>
        </is>
      </c>
      <c r="C7" s="36" t="inlineStr">
        <is>
          <t>United States</t>
        </is>
      </c>
      <c r="D7" s="35" t="n">
        <v>2002</v>
      </c>
      <c r="E7" s="36" t="inlineStr">
        <is>
          <t>Internal Corporate Fraud</t>
        </is>
      </c>
      <c r="F7" s="36" t="inlineStr">
        <is>
          <t>Operational Risk</t>
        </is>
      </c>
      <c r="G7" s="36" t="inlineStr">
        <is>
          <t>Reporting</t>
        </is>
      </c>
      <c r="H7" s="36" t="inlineStr">
        <is>
          <t>$2.5 billion</t>
        </is>
      </c>
      <c r="I7" s="37" t="n">
        <v>2500</v>
      </c>
    </row>
    <row r="8">
      <c r="A8" s="23" t="n">
        <v>3</v>
      </c>
      <c r="B8" s="16" t="inlineStr">
        <is>
          <t>AIG (US)</t>
        </is>
      </c>
      <c r="C8" s="16" t="inlineStr">
        <is>
          <t>United States</t>
        </is>
      </c>
      <c r="D8" s="23" t="n">
        <v>2008</v>
      </c>
      <c r="E8" s="16" t="inlineStr">
        <is>
          <t>Overexposure to Credit Default Swaps leading to liquidity crisis</t>
        </is>
      </c>
      <c r="F8" s="16" t="inlineStr">
        <is>
          <t>Credit Risk</t>
        </is>
      </c>
      <c r="G8" s="16" t="inlineStr">
        <is>
          <t>Strategic</t>
        </is>
      </c>
      <c r="H8" s="16" t="inlineStr">
        <is>
          <t>$85 billion</t>
        </is>
      </c>
      <c r="I8" s="34" t="n">
        <v>85000</v>
      </c>
    </row>
    <row r="9">
      <c r="A9" s="35" t="n">
        <v>4</v>
      </c>
      <c r="B9" s="36" t="inlineStr">
        <is>
          <t>Allied Irish Bank</t>
        </is>
      </c>
      <c r="C9" s="36" t="inlineStr">
        <is>
          <t>Ireland</t>
        </is>
      </c>
      <c r="D9" s="35" t="n">
        <v>2002</v>
      </c>
      <c r="E9" s="36" t="inlineStr">
        <is>
          <t>Rogue Trader (John Rusnak)</t>
        </is>
      </c>
      <c r="F9" s="36" t="inlineStr">
        <is>
          <t>Operational Risk</t>
        </is>
      </c>
      <c r="G9" s="36" t="inlineStr">
        <is>
          <t>Operations</t>
        </is>
      </c>
      <c r="H9" s="36" t="inlineStr">
        <is>
          <t>$691 million</t>
        </is>
      </c>
      <c r="I9" s="37" t="n">
        <v>691</v>
      </c>
    </row>
    <row r="10">
      <c r="A10" s="23" t="n">
        <v>5</v>
      </c>
      <c r="B10" s="16" t="inlineStr">
        <is>
          <t>Allied Irish Banks (Ireland)</t>
        </is>
      </c>
      <c r="C10" s="16" t="inlineStr">
        <is>
          <t>Ireland</t>
        </is>
      </c>
      <c r="D10" s="23" t="n">
        <v>2008</v>
      </c>
      <c r="E10" s="16" t="inlineStr">
        <is>
          <t>Overexposure to Property Market leading to nationalization</t>
        </is>
      </c>
      <c r="F10" s="16" t="inlineStr">
        <is>
          <t>Credit Risk</t>
        </is>
      </c>
      <c r="G10" s="16" t="inlineStr">
        <is>
          <t>Strategic</t>
        </is>
      </c>
      <c r="H10" s="16" t="inlineStr">
        <is>
          <t>€21 billion</t>
        </is>
      </c>
      <c r="I10" s="34" t="n">
        <v>24800</v>
      </c>
    </row>
    <row r="11">
      <c r="A11" s="35" t="n">
        <v>6</v>
      </c>
      <c r="B11" s="36" t="inlineStr">
        <is>
          <t>Alpha Bank (Greece)</t>
        </is>
      </c>
      <c r="C11" s="36" t="inlineStr">
        <is>
          <t>Greece</t>
        </is>
      </c>
      <c r="D11" s="35" t="n">
        <v>2010</v>
      </c>
      <c r="E11" s="36" t="inlineStr">
        <is>
          <t>Overexposure to Greek Sovereign Debt</t>
        </is>
      </c>
      <c r="F11" s="36" t="inlineStr">
        <is>
          <t>Credit Risk</t>
        </is>
      </c>
      <c r="G11" s="36" t="inlineStr">
        <is>
          <t>Strategic</t>
        </is>
      </c>
      <c r="H11" s="36" t="inlineStr">
        <is>
          <t>~€4 billion</t>
        </is>
      </c>
      <c r="I11" s="37" t="n">
        <v>4700</v>
      </c>
    </row>
    <row r="12">
      <c r="A12" s="23" t="n">
        <v>7</v>
      </c>
      <c r="B12" s="16" t="inlineStr">
        <is>
          <t>AmBank (Malaysia)</t>
        </is>
      </c>
      <c r="C12" s="16" t="inlineStr">
        <is>
          <t>Malaysia</t>
        </is>
      </c>
      <c r="D12" s="23" t="n">
        <v>2015</v>
      </c>
      <c r="E12" s="16" t="inlineStr">
        <is>
          <t>Involvement in 1MDB Scandal</t>
        </is>
      </c>
      <c r="F12" s="16" t="inlineStr">
        <is>
          <t>Conduct Risk</t>
        </is>
      </c>
      <c r="G12" s="16" t="inlineStr">
        <is>
          <t>Compliance</t>
        </is>
      </c>
      <c r="H12" s="16" t="inlineStr">
        <is>
          <t>$700 million</t>
        </is>
      </c>
      <c r="I12" s="34" t="n">
        <v>700</v>
      </c>
    </row>
    <row r="13">
      <c r="A13" s="35" t="n">
        <v>8</v>
      </c>
      <c r="B13" s="36" t="inlineStr">
        <is>
          <t>AMCORE Financial</t>
        </is>
      </c>
      <c r="C13" s="36" t="inlineStr">
        <is>
          <t>United States</t>
        </is>
      </c>
      <c r="D13" s="35" t="n">
        <v>2010</v>
      </c>
      <c r="E13" s="36" t="inlineStr">
        <is>
          <t>Overexposure to Commercial Real Estate</t>
        </is>
      </c>
      <c r="F13" s="36" t="inlineStr">
        <is>
          <t>Credit Risk</t>
        </is>
      </c>
      <c r="G13" s="36" t="inlineStr">
        <is>
          <t>Strategic</t>
        </is>
      </c>
      <c r="H13" s="36" t="inlineStr">
        <is>
          <t>$3.8 billion</t>
        </is>
      </c>
      <c r="I13" s="37" t="n">
        <v>3800</v>
      </c>
    </row>
    <row r="14">
      <c r="A14" s="23" t="n">
        <v>9</v>
      </c>
      <c r="B14" s="16" t="inlineStr">
        <is>
          <t>American International Group (AIG)</t>
        </is>
      </c>
      <c r="C14" s="16" t="inlineStr">
        <is>
          <t>United States</t>
        </is>
      </c>
      <c r="D14" s="23" t="n">
        <v>2005</v>
      </c>
      <c r="E14" s="16" t="inlineStr">
        <is>
          <t>Accounting Fraud</t>
        </is>
      </c>
      <c r="F14" s="16" t="inlineStr">
        <is>
          <t>Operational Risk</t>
        </is>
      </c>
      <c r="G14" s="16" t="inlineStr">
        <is>
          <t>Reporting</t>
        </is>
      </c>
      <c r="H14" s="16" t="inlineStr">
        <is>
          <t>$3.9 billion</t>
        </is>
      </c>
      <c r="I14" s="34" t="n">
        <v>3900</v>
      </c>
    </row>
    <row r="15">
      <c r="A15" s="35" t="n">
        <v>10</v>
      </c>
      <c r="B15" s="36" t="inlineStr">
        <is>
          <t>American International Group (AIG)</t>
        </is>
      </c>
      <c r="C15" s="36" t="inlineStr">
        <is>
          <t>United States</t>
        </is>
      </c>
      <c r="D15" s="35" t="n">
        <v>2008</v>
      </c>
      <c r="E15" s="36" t="inlineStr">
        <is>
          <t>Overexposure to Credit Default Swaps</t>
        </is>
      </c>
      <c r="F15" s="36" t="inlineStr">
        <is>
          <t>Credit Risk</t>
        </is>
      </c>
      <c r="G15" s="36" t="inlineStr">
        <is>
          <t>Strategic</t>
        </is>
      </c>
      <c r="H15" s="36" t="inlineStr">
        <is>
          <t>$85 billion</t>
        </is>
      </c>
      <c r="I15" s="37" t="n">
        <v>85000</v>
      </c>
    </row>
    <row r="16">
      <c r="A16" s="23" t="n">
        <v>11</v>
      </c>
      <c r="B16" s="16" t="inlineStr">
        <is>
          <t>American Savings &amp; Loan</t>
        </is>
      </c>
      <c r="C16" s="16" t="inlineStr">
        <is>
          <t>United States</t>
        </is>
      </c>
      <c r="D16" s="23" t="n">
        <v>1988</v>
      </c>
      <c r="E16" s="16" t="inlineStr">
        <is>
          <t>High-risk Mortgage Lending and Securities Investments</t>
        </is>
      </c>
      <c r="F16" s="16" t="inlineStr">
        <is>
          <t>Credit Risk</t>
        </is>
      </c>
      <c r="G16" s="16" t="inlineStr">
        <is>
          <t>Strategic</t>
        </is>
      </c>
      <c r="H16" s="16" t="inlineStr">
        <is>
          <t>$5.4 billion</t>
        </is>
      </c>
      <c r="I16" s="34" t="n">
        <v>5400</v>
      </c>
    </row>
    <row r="17">
      <c r="A17" s="35" t="n">
        <v>12</v>
      </c>
      <c r="B17" s="36" t="inlineStr">
        <is>
          <t>AMP (Australia)</t>
        </is>
      </c>
      <c r="C17" s="36" t="inlineStr">
        <is>
          <t>Australia</t>
        </is>
      </c>
      <c r="D17" s="35" t="n">
        <v>2018</v>
      </c>
      <c r="E17" s="36" t="inlineStr">
        <is>
          <t>Fees for No Service</t>
        </is>
      </c>
      <c r="F17" s="36" t="inlineStr">
        <is>
          <t>Conduct Risk</t>
        </is>
      </c>
      <c r="G17" s="36" t="inlineStr">
        <is>
          <t>Compliance</t>
        </is>
      </c>
      <c r="H17" s="36" t="inlineStr">
        <is>
          <t>AUD 600 million</t>
        </is>
      </c>
      <c r="I17" s="37" t="n">
        <v>432</v>
      </c>
    </row>
    <row r="18">
      <c r="A18" s="23" t="n">
        <v>13</v>
      </c>
      <c r="B18" s="16" t="inlineStr">
        <is>
          <t>Anglo Irish Bank</t>
        </is>
      </c>
      <c r="C18" s="16" t="inlineStr">
        <is>
          <t>Ireland</t>
        </is>
      </c>
      <c r="D18" s="23" t="n">
        <v>2010</v>
      </c>
      <c r="E18" s="16" t="inlineStr">
        <is>
          <t>Hidden Loans and Accounting Fraud</t>
        </is>
      </c>
      <c r="F18" s="16" t="inlineStr">
        <is>
          <t>Operational Risk</t>
        </is>
      </c>
      <c r="G18" s="16" t="inlineStr">
        <is>
          <t>Reporting</t>
        </is>
      </c>
      <c r="H18" s="16" t="inlineStr">
        <is>
          <t>€29.3 billion</t>
        </is>
      </c>
      <c r="I18" s="34" t="n">
        <v>34600</v>
      </c>
    </row>
    <row r="19">
      <c r="A19" s="35" t="n">
        <v>14</v>
      </c>
      <c r="B19" s="36" t="inlineStr">
        <is>
          <t>ANZ (Australia)</t>
        </is>
      </c>
      <c r="C19" s="36" t="inlineStr">
        <is>
          <t>Australia</t>
        </is>
      </c>
      <c r="D19" s="35" t="n">
        <v>2018</v>
      </c>
      <c r="E19" s="36" t="inlineStr">
        <is>
          <t>Interest Rate Rigging</t>
        </is>
      </c>
      <c r="F19" s="36" t="inlineStr">
        <is>
          <t>Conduct Risk</t>
        </is>
      </c>
      <c r="G19" s="36" t="inlineStr">
        <is>
          <t>Compliance</t>
        </is>
      </c>
      <c r="H19" s="36" t="inlineStr">
        <is>
          <t>AUD 50 million</t>
        </is>
      </c>
      <c r="I19" s="37" t="n">
        <v>36</v>
      </c>
    </row>
    <row r="20">
      <c r="A20" s="23" t="n">
        <v>15</v>
      </c>
      <c r="B20" s="16" t="inlineStr">
        <is>
          <t>Arthur Andersen</t>
        </is>
      </c>
      <c r="C20" s="16" t="inlineStr">
        <is>
          <t>United States</t>
        </is>
      </c>
      <c r="D20" s="23" t="n">
        <v>2002</v>
      </c>
      <c r="E20" s="16" t="inlineStr">
        <is>
          <t>Involvement in Enron Scandal and Failure in Ethical Responsibility</t>
        </is>
      </c>
      <c r="F20" s="16" t="inlineStr">
        <is>
          <t>Conduct Risk</t>
        </is>
      </c>
      <c r="G20" s="16" t="inlineStr">
        <is>
          <t>Compliance</t>
        </is>
      </c>
      <c r="H20" s="16" t="inlineStr">
        <is>
          <t>$63 billion</t>
        </is>
      </c>
      <c r="I20" s="34" t="n">
        <v>63000</v>
      </c>
    </row>
    <row r="21">
      <c r="A21" s="35" t="n">
        <v>16</v>
      </c>
      <c r="B21" s="36" t="inlineStr">
        <is>
          <t>Banca Carige (Italy)</t>
        </is>
      </c>
      <c r="C21" s="36" t="inlineStr">
        <is>
          <t>Italy</t>
        </is>
      </c>
      <c r="D21" s="35" t="n">
        <v>2018</v>
      </c>
      <c r="E21" s="36" t="inlineStr">
        <is>
          <t>Governance Failures and High NPLs</t>
        </is>
      </c>
      <c r="F21" s="36" t="inlineStr">
        <is>
          <t>Credit Risk</t>
        </is>
      </c>
      <c r="G21" s="36" t="inlineStr">
        <is>
          <t>Operations</t>
        </is>
      </c>
      <c r="H21" s="36" t="inlineStr">
        <is>
          <t>€1.9 billion</t>
        </is>
      </c>
      <c r="I21" s="37" t="n">
        <v>2200</v>
      </c>
    </row>
    <row r="22">
      <c r="A22" s="23" t="n">
        <v>17</v>
      </c>
      <c r="B22" s="16" t="inlineStr">
        <is>
          <t>Banca Monte dei Paschi di Siena (Italy)</t>
        </is>
      </c>
      <c r="C22" s="16" t="inlineStr">
        <is>
          <t>Italy</t>
        </is>
      </c>
      <c r="D22" s="23" t="n">
        <v>2013</v>
      </c>
      <c r="E22" s="16" t="inlineStr">
        <is>
          <t>Derivative and Accounting Fraud</t>
        </is>
      </c>
      <c r="F22" s="16" t="inlineStr">
        <is>
          <t>Operational Risk</t>
        </is>
      </c>
      <c r="G22" s="16" t="inlineStr">
        <is>
          <t>Reporting</t>
        </is>
      </c>
      <c r="H22" s="16" t="inlineStr">
        <is>
          <t>€4 billion</t>
        </is>
      </c>
      <c r="I22" s="34" t="n">
        <v>4700</v>
      </c>
    </row>
    <row r="23">
      <c r="A23" s="35" t="n">
        <v>18</v>
      </c>
      <c r="B23" s="36" t="inlineStr">
        <is>
          <t>Banca Monte dei Paschi di Siena (Italy)</t>
        </is>
      </c>
      <c r="C23" s="36" t="inlineStr">
        <is>
          <t>Italy</t>
        </is>
      </c>
      <c r="D23" s="35" t="n">
        <v>2013</v>
      </c>
      <c r="E23" s="36" t="inlineStr">
        <is>
          <t>Derivative Mis-selling</t>
        </is>
      </c>
      <c r="F23" s="36" t="inlineStr">
        <is>
          <t>Conduct Risk</t>
        </is>
      </c>
      <c r="G23" s="36" t="inlineStr">
        <is>
          <t>Compliance</t>
        </is>
      </c>
      <c r="H23" s="36" t="inlineStr">
        <is>
          <t>€730 million</t>
        </is>
      </c>
      <c r="I23" s="37" t="n">
        <v>861</v>
      </c>
    </row>
    <row r="24">
      <c r="A24" s="23" t="n">
        <v>19</v>
      </c>
      <c r="B24" s="16" t="inlineStr">
        <is>
          <t>Banca Popolare di Bari (Italy)</t>
        </is>
      </c>
      <c r="C24" s="16" t="inlineStr">
        <is>
          <t>Italy</t>
        </is>
      </c>
      <c r="D24" s="23" t="n">
        <v>2019</v>
      </c>
      <c r="E24" s="16" t="inlineStr">
        <is>
          <t>Mismanagement and False Accounting</t>
        </is>
      </c>
      <c r="F24" s="16" t="inlineStr">
        <is>
          <t>Operational Risk</t>
        </is>
      </c>
      <c r="G24" s="16" t="inlineStr">
        <is>
          <t>Reporting</t>
        </is>
      </c>
      <c r="H24" s="16" t="inlineStr">
        <is>
          <t>€1.4 billion</t>
        </is>
      </c>
      <c r="I24" s="34" t="n">
        <v>1700</v>
      </c>
    </row>
    <row r="25">
      <c r="A25" s="35" t="n">
        <v>20</v>
      </c>
      <c r="B25" s="36" t="inlineStr">
        <is>
          <t>Banca Popolare di Vicenza (Italy)</t>
        </is>
      </c>
      <c r="C25" s="36" t="inlineStr">
        <is>
          <t>Italy</t>
        </is>
      </c>
      <c r="D25" s="35" t="n">
        <v>2017</v>
      </c>
      <c r="E25" s="36" t="inlineStr">
        <is>
          <t>Fraud and Mismanagement</t>
        </is>
      </c>
      <c r="F25" s="36" t="inlineStr">
        <is>
          <t>Operational Risk</t>
        </is>
      </c>
      <c r="G25" s="36" t="inlineStr">
        <is>
          <t>Reporting</t>
        </is>
      </c>
      <c r="H25" s="36" t="inlineStr">
        <is>
          <t>€11 billion</t>
        </is>
      </c>
      <c r="I25" s="37" t="n">
        <v>13000</v>
      </c>
    </row>
    <row r="26">
      <c r="A26" s="23" t="n">
        <v>21</v>
      </c>
      <c r="B26" s="16" t="inlineStr">
        <is>
          <t>Banca Privada d'Andorra (Andorra)</t>
        </is>
      </c>
      <c r="C26" s="16" t="inlineStr">
        <is>
          <t>Andorra</t>
        </is>
      </c>
      <c r="D26" s="23" t="n">
        <v>2015</v>
      </c>
      <c r="E26" s="16" t="inlineStr">
        <is>
          <t>Money Laundering</t>
        </is>
      </c>
      <c r="F26" s="16" t="inlineStr">
        <is>
          <t>Operational Risk</t>
        </is>
      </c>
      <c r="G26" s="16" t="inlineStr">
        <is>
          <t>Compliance</t>
        </is>
      </c>
      <c r="H26" s="16" t="inlineStr">
        <is>
          <t>$1.2 billion</t>
        </is>
      </c>
      <c r="I26" s="34" t="n">
        <v>1200</v>
      </c>
    </row>
    <row r="27">
      <c r="A27" s="35" t="n">
        <v>22</v>
      </c>
      <c r="B27" s="36" t="inlineStr">
        <is>
          <t>Banco de Valencia (Spain)</t>
        </is>
      </c>
      <c r="C27" s="36" t="inlineStr">
        <is>
          <t>Spain</t>
        </is>
      </c>
      <c r="D27" s="35" t="n">
        <v>2011</v>
      </c>
      <c r="E27" s="36" t="inlineStr">
        <is>
          <t>Overexposure to Real Estate Loans</t>
        </is>
      </c>
      <c r="F27" s="36" t="inlineStr">
        <is>
          <t>Credit Risk</t>
        </is>
      </c>
      <c r="G27" s="36" t="inlineStr">
        <is>
          <t>Strategic</t>
        </is>
      </c>
      <c r="H27" s="36" t="inlineStr">
        <is>
          <t>€4.5 billion</t>
        </is>
      </c>
      <c r="I27" s="37" t="n">
        <v>5300</v>
      </c>
    </row>
    <row r="28">
      <c r="A28" s="23" t="n">
        <v>23</v>
      </c>
      <c r="B28" s="16" t="inlineStr">
        <is>
          <t>Banco do Brasil</t>
        </is>
      </c>
      <c r="C28" s="16" t="inlineStr">
        <is>
          <t>Brazil</t>
        </is>
      </c>
      <c r="D28" s="23" t="n">
        <v>2010</v>
      </c>
      <c r="E28" s="16" t="inlineStr">
        <is>
          <t>Fraud and Overextension of Credit</t>
        </is>
      </c>
      <c r="F28" s="16" t="inlineStr">
        <is>
          <t>Operational Risk</t>
        </is>
      </c>
      <c r="G28" s="16" t="inlineStr">
        <is>
          <t>Operations</t>
        </is>
      </c>
      <c r="H28" s="16" t="inlineStr">
        <is>
          <t>$1.2 billion</t>
        </is>
      </c>
      <c r="I28" s="34" t="n">
        <v>1200</v>
      </c>
    </row>
    <row r="29">
      <c r="A29" s="35" t="n">
        <v>24</v>
      </c>
      <c r="B29" s="36" t="inlineStr">
        <is>
          <t>Banco Espirito Santo (Portugal)</t>
        </is>
      </c>
      <c r="C29" s="36" t="inlineStr">
        <is>
          <t>Portugal</t>
        </is>
      </c>
      <c r="D29" s="35" t="n">
        <v>2014</v>
      </c>
      <c r="E29" s="36" t="inlineStr">
        <is>
          <t>Accounting Irregularities and Overexposure to Angola's Oil Sector</t>
        </is>
      </c>
      <c r="F29" s="36" t="inlineStr">
        <is>
          <t>Operational Risk</t>
        </is>
      </c>
      <c r="G29" s="36" t="inlineStr">
        <is>
          <t>Reporting</t>
        </is>
      </c>
      <c r="H29" s="36" t="inlineStr">
        <is>
          <t>€3.6 billion</t>
        </is>
      </c>
      <c r="I29" s="37" t="n">
        <v>4200</v>
      </c>
    </row>
    <row r="30">
      <c r="A30" s="23" t="n">
        <v>25</v>
      </c>
      <c r="B30" s="16" t="inlineStr">
        <is>
          <t>Banco Intercontinental (Dominican Republic)</t>
        </is>
      </c>
      <c r="C30" s="16" t="inlineStr">
        <is>
          <t>Dominican Republic</t>
        </is>
      </c>
      <c r="D30" s="23" t="n">
        <v>2003</v>
      </c>
      <c r="E30" s="16" t="inlineStr">
        <is>
          <t>Fraud and Mismanagement</t>
        </is>
      </c>
      <c r="F30" s="16" t="inlineStr">
        <is>
          <t>Operational Risk</t>
        </is>
      </c>
      <c r="G30" s="16" t="inlineStr">
        <is>
          <t>Operations</t>
        </is>
      </c>
      <c r="H30" s="16" t="inlineStr">
        <is>
          <t>$2.2 billion</t>
        </is>
      </c>
      <c r="I30" s="34" t="n">
        <v>2200</v>
      </c>
    </row>
    <row r="31">
      <c r="A31" s="35" t="n">
        <v>26</v>
      </c>
      <c r="B31" s="36" t="inlineStr">
        <is>
          <t>Banco Nacional (Costa Rica)</t>
        </is>
      </c>
      <c r="C31" s="36" t="inlineStr">
        <is>
          <t>Costa Rica</t>
        </is>
      </c>
      <c r="D31" s="35" t="n">
        <v>2004</v>
      </c>
      <c r="E31" s="36" t="inlineStr">
        <is>
          <t>Fraud and Money Laundering</t>
        </is>
      </c>
      <c r="F31" s="36" t="inlineStr">
        <is>
          <t>Operational Risk</t>
        </is>
      </c>
      <c r="G31" s="36" t="inlineStr">
        <is>
          <t>Compliance</t>
        </is>
      </c>
      <c r="H31" s="36" t="inlineStr">
        <is>
          <t>$500 million</t>
        </is>
      </c>
      <c r="I31" s="37" t="n">
        <v>500</v>
      </c>
    </row>
    <row r="32">
      <c r="A32" s="23" t="n">
        <v>27</v>
      </c>
      <c r="B32" s="16" t="inlineStr">
        <is>
          <t>Banco Popular (Spain)</t>
        </is>
      </c>
      <c r="C32" s="16" t="inlineStr">
        <is>
          <t>Spain</t>
        </is>
      </c>
      <c r="D32" s="23" t="n">
        <v>2017</v>
      </c>
      <c r="E32" s="16" t="inlineStr">
        <is>
          <t>Overexposure to Real Estate Loans</t>
        </is>
      </c>
      <c r="F32" s="16" t="inlineStr">
        <is>
          <t>Credit Risk</t>
        </is>
      </c>
      <c r="G32" s="16" t="inlineStr">
        <is>
          <t>Strategic</t>
        </is>
      </c>
      <c r="H32" s="16" t="inlineStr">
        <is>
          <t>€3.5 billion</t>
        </is>
      </c>
      <c r="I32" s="34" t="n">
        <v>4100</v>
      </c>
    </row>
    <row r="33">
      <c r="A33" s="35" t="n">
        <v>28</v>
      </c>
      <c r="B33" s="36" t="inlineStr">
        <is>
          <t>Banesto (Spain)</t>
        </is>
      </c>
      <c r="C33" s="36" t="inlineStr">
        <is>
          <t>Spain</t>
        </is>
      </c>
      <c r="D33" s="35" t="n">
        <v>1993</v>
      </c>
      <c r="E33" s="36" t="inlineStr">
        <is>
          <t>Overexposure to Real Estate Investments</t>
        </is>
      </c>
      <c r="F33" s="36" t="inlineStr">
        <is>
          <t>Credit Risk</t>
        </is>
      </c>
      <c r="G33" s="36" t="inlineStr">
        <is>
          <t>Strategic</t>
        </is>
      </c>
      <c r="H33" s="36" t="inlineStr">
        <is>
          <t>$3.8 billion</t>
        </is>
      </c>
      <c r="I33" s="37" t="n">
        <v>3800</v>
      </c>
    </row>
    <row r="34">
      <c r="A34" s="23" t="n">
        <v>29</v>
      </c>
      <c r="B34" s="16" t="inlineStr">
        <is>
          <t>Bank of America</t>
        </is>
      </c>
      <c r="C34" s="16" t="inlineStr">
        <is>
          <t>United States</t>
        </is>
      </c>
      <c r="D34" s="23" t="n">
        <v>2008</v>
      </c>
      <c r="E34" s="16" t="inlineStr">
        <is>
          <t>Overexposure to Subprime Mortgages</t>
        </is>
      </c>
      <c r="F34" s="16" t="inlineStr">
        <is>
          <t>Credit Risk</t>
        </is>
      </c>
      <c r="G34" s="16" t="inlineStr">
        <is>
          <t>Strategic</t>
        </is>
      </c>
      <c r="H34" s="16" t="inlineStr">
        <is>
          <t>$64.8 billion</t>
        </is>
      </c>
      <c r="I34" s="34" t="n">
        <v>64800</v>
      </c>
    </row>
    <row r="35">
      <c r="A35" s="35" t="n">
        <v>30</v>
      </c>
      <c r="B35" s="36" t="inlineStr">
        <is>
          <t>Bank of Cyprus</t>
        </is>
      </c>
      <c r="C35" s="36" t="inlineStr">
        <is>
          <t>Cyprus</t>
        </is>
      </c>
      <c r="D35" s="35" t="n">
        <v>2012</v>
      </c>
      <c r="E35" s="36" t="inlineStr">
        <is>
          <t>Overexposure to Greek Debt</t>
        </is>
      </c>
      <c r="F35" s="36" t="inlineStr">
        <is>
          <t>Credit Risk</t>
        </is>
      </c>
      <c r="G35" s="36" t="inlineStr">
        <is>
          <t>Strategic</t>
        </is>
      </c>
      <c r="H35" s="36" t="inlineStr">
        <is>
          <t>€1.9 billion</t>
        </is>
      </c>
      <c r="I35" s="37" t="n">
        <v>2200</v>
      </c>
    </row>
    <row r="36">
      <c r="A36" s="23" t="n">
        <v>31</v>
      </c>
      <c r="B36" s="16" t="inlineStr">
        <is>
          <t>Bank of Moscow (Russia)</t>
        </is>
      </c>
      <c r="C36" s="16" t="inlineStr">
        <is>
          <t>Russia</t>
        </is>
      </c>
      <c r="D36" s="23" t="n">
        <v>2011</v>
      </c>
      <c r="E36" s="16" t="inlineStr">
        <is>
          <t>Fraud and Mismanagement</t>
        </is>
      </c>
      <c r="F36" s="16" t="inlineStr">
        <is>
          <t>Operational Risk</t>
        </is>
      </c>
      <c r="G36" s="16" t="inlineStr">
        <is>
          <t>Operations</t>
        </is>
      </c>
      <c r="H36" s="16" t="inlineStr">
        <is>
          <t>$9 billion</t>
        </is>
      </c>
      <c r="I36" s="34" t="n">
        <v>9000</v>
      </c>
    </row>
    <row r="37">
      <c r="A37" s="35" t="n">
        <v>32</v>
      </c>
      <c r="B37" s="36" t="inlineStr">
        <is>
          <t>Bank of New England</t>
        </is>
      </c>
      <c r="C37" s="36" t="inlineStr">
        <is>
          <t>United States</t>
        </is>
      </c>
      <c r="D37" s="35" t="n">
        <v>1991</v>
      </c>
      <c r="E37" s="36" t="inlineStr">
        <is>
          <t>Overexposure to Commercial Real Estate</t>
        </is>
      </c>
      <c r="F37" s="36" t="inlineStr">
        <is>
          <t>Credit Risk</t>
        </is>
      </c>
      <c r="G37" s="36" t="inlineStr">
        <is>
          <t>Strategic</t>
        </is>
      </c>
      <c r="H37" s="36" t="inlineStr">
        <is>
          <t>$2.5 billion</t>
        </is>
      </c>
      <c r="I37" s="37" t="n">
        <v>2500</v>
      </c>
    </row>
    <row r="38">
      <c r="A38" s="23" t="n">
        <v>33</v>
      </c>
      <c r="B38" s="16" t="inlineStr">
        <is>
          <t>Bankgesellschaft Berlin (Germany)</t>
        </is>
      </c>
      <c r="C38" s="16" t="inlineStr">
        <is>
          <t>Germany</t>
        </is>
      </c>
      <c r="D38" s="23" t="n">
        <v>2001</v>
      </c>
      <c r="E38" s="16" t="inlineStr">
        <is>
          <t>Overexposure to Real Estate Market</t>
        </is>
      </c>
      <c r="F38" s="16" t="inlineStr">
        <is>
          <t>Credit Risk</t>
        </is>
      </c>
      <c r="G38" s="16" t="inlineStr">
        <is>
          <t>Strategic</t>
        </is>
      </c>
      <c r="H38" s="16" t="inlineStr">
        <is>
          <t>€1.6 billion</t>
        </is>
      </c>
      <c r="I38" s="34" t="n">
        <v>1900</v>
      </c>
    </row>
    <row r="39">
      <c r="A39" s="35" t="n">
        <v>34</v>
      </c>
      <c r="B39" s="36" t="inlineStr">
        <is>
          <t>Bankia (Spain)</t>
        </is>
      </c>
      <c r="C39" s="36" t="inlineStr">
        <is>
          <t>Spain</t>
        </is>
      </c>
      <c r="D39" s="35" t="n">
        <v>2012</v>
      </c>
      <c r="E39" s="36" t="inlineStr">
        <is>
          <t>Overexposure to Real Estate Loans</t>
        </is>
      </c>
      <c r="F39" s="36" t="inlineStr">
        <is>
          <t>Credit Risk</t>
        </is>
      </c>
      <c r="G39" s="36" t="inlineStr">
        <is>
          <t>Strategic</t>
        </is>
      </c>
      <c r="H39" s="36" t="inlineStr">
        <is>
          <t>€22.4 billion</t>
        </is>
      </c>
      <c r="I39" s="37" t="n">
        <v>26400</v>
      </c>
    </row>
    <row r="40">
      <c r="A40" s="23" t="n">
        <v>35</v>
      </c>
      <c r="B40" s="16" t="inlineStr">
        <is>
          <t>Bankia (Spain)</t>
        </is>
      </c>
      <c r="C40" s="16" t="inlineStr">
        <is>
          <t>Spain</t>
        </is>
      </c>
      <c r="D40" s="23" t="n">
        <v>2012</v>
      </c>
      <c r="E40" s="16" t="inlineStr">
        <is>
          <t>Misrepresentation of Financial Statements</t>
        </is>
      </c>
      <c r="F40" s="16" t="inlineStr">
        <is>
          <t>Operational Risk</t>
        </is>
      </c>
      <c r="G40" s="16" t="inlineStr">
        <is>
          <t>Reporting</t>
        </is>
      </c>
      <c r="H40" s="16" t="inlineStr">
        <is>
          <t>€3.1 billion</t>
        </is>
      </c>
      <c r="I40" s="34" t="n">
        <v>3700</v>
      </c>
    </row>
    <row r="41">
      <c r="A41" s="35" t="n">
        <v>36</v>
      </c>
      <c r="B41" s="36" t="inlineStr">
        <is>
          <t>BankUnited FSB</t>
        </is>
      </c>
      <c r="C41" s="36" t="inlineStr">
        <is>
          <t>United States</t>
        </is>
      </c>
      <c r="D41" s="35" t="n">
        <v>2009</v>
      </c>
      <c r="E41" s="36" t="inlineStr">
        <is>
          <t>Overexposure to Option Adjustable-Rate Mortgages</t>
        </is>
      </c>
      <c r="F41" s="36" t="inlineStr">
        <is>
          <t>Credit Risk</t>
        </is>
      </c>
      <c r="G41" s="36" t="inlineStr">
        <is>
          <t>Strategic</t>
        </is>
      </c>
      <c r="H41" s="36" t="inlineStr">
        <is>
          <t>$14 billion</t>
        </is>
      </c>
      <c r="I41" s="37" t="n">
        <v>14000</v>
      </c>
    </row>
    <row r="42">
      <c r="A42" s="23" t="n">
        <v>37</v>
      </c>
      <c r="B42" s="16" t="inlineStr">
        <is>
          <t>Barclays (UK)</t>
        </is>
      </c>
      <c r="C42" s="16" t="inlineStr">
        <is>
          <t>United Kingdom</t>
        </is>
      </c>
      <c r="D42" s="23" t="n">
        <v>2012</v>
      </c>
      <c r="E42" s="16" t="inlineStr">
        <is>
          <t>Libor Scandal</t>
        </is>
      </c>
      <c r="F42" s="16" t="inlineStr">
        <is>
          <t>Conduct Risk</t>
        </is>
      </c>
      <c r="G42" s="16" t="inlineStr">
        <is>
          <t>Compliance</t>
        </is>
      </c>
      <c r="H42" s="16" t="inlineStr">
        <is>
          <t>£290 million</t>
        </is>
      </c>
      <c r="I42" s="34" t="n">
        <v>392</v>
      </c>
    </row>
    <row r="43">
      <c r="A43" s="35" t="n">
        <v>38</v>
      </c>
      <c r="B43" s="36" t="inlineStr">
        <is>
          <t>Barings Bank</t>
        </is>
      </c>
      <c r="C43" s="36" t="inlineStr">
        <is>
          <t>United Kingdom</t>
        </is>
      </c>
      <c r="D43" s="35" t="n">
        <v>1995</v>
      </c>
      <c r="E43" s="36" t="inlineStr">
        <is>
          <t>Unauthorized and Unsuitable Trading</t>
        </is>
      </c>
      <c r="F43" s="36" t="inlineStr">
        <is>
          <t>Market Risk</t>
        </is>
      </c>
      <c r="G43" s="36" t="inlineStr">
        <is>
          <t>Operations</t>
        </is>
      </c>
      <c r="H43" s="36" t="inlineStr">
        <is>
          <t>$1.3 billion</t>
        </is>
      </c>
      <c r="I43" s="37" t="n">
        <v>1300</v>
      </c>
    </row>
    <row r="44">
      <c r="A44" s="23" t="n">
        <v>39</v>
      </c>
      <c r="B44" s="16" t="inlineStr">
        <is>
          <t>Bawag (Austria)</t>
        </is>
      </c>
      <c r="C44" s="16" t="inlineStr">
        <is>
          <t>Austria</t>
        </is>
      </c>
      <c r="D44" s="23" t="n">
        <v>2006</v>
      </c>
      <c r="E44" s="16" t="inlineStr">
        <is>
          <t>Hidden Losses and Fraudulent Transactions</t>
        </is>
      </c>
      <c r="F44" s="16" t="inlineStr">
        <is>
          <t>Operational Risk</t>
        </is>
      </c>
      <c r="G44" s="16" t="inlineStr">
        <is>
          <t>Reporting</t>
        </is>
      </c>
      <c r="H44" s="16" t="inlineStr">
        <is>
          <t>€1.6 billion</t>
        </is>
      </c>
      <c r="I44" s="34" t="n">
        <v>1900</v>
      </c>
    </row>
    <row r="45">
      <c r="A45" s="35" t="n">
        <v>40</v>
      </c>
      <c r="B45" s="36" t="inlineStr">
        <is>
          <t>Bear Stearns</t>
        </is>
      </c>
      <c r="C45" s="36" t="inlineStr">
        <is>
          <t>United States</t>
        </is>
      </c>
      <c r="D45" s="35" t="n">
        <v>2008</v>
      </c>
      <c r="E45" s="36" t="inlineStr">
        <is>
          <t>Overexposure to Mortgage-Backed Securities</t>
        </is>
      </c>
      <c r="F45" s="36" t="inlineStr">
        <is>
          <t>Credit Risk</t>
        </is>
      </c>
      <c r="G45" s="36" t="inlineStr">
        <is>
          <t>Strategic</t>
        </is>
      </c>
      <c r="H45" s="36" t="inlineStr">
        <is>
          <t>$17.3 billion</t>
        </is>
      </c>
      <c r="I45" s="37" t="n">
        <v>17300</v>
      </c>
    </row>
    <row r="46">
      <c r="A46" s="23" t="n">
        <v>41</v>
      </c>
      <c r="B46" s="16" t="inlineStr">
        <is>
          <t>Bear Stearns (US)</t>
        </is>
      </c>
      <c r="C46" s="16" t="inlineStr">
        <is>
          <t>United States</t>
        </is>
      </c>
      <c r="D46" s="23" t="n">
        <v>2008</v>
      </c>
      <c r="E46" s="16" t="inlineStr">
        <is>
          <t>Overexposure to Collateralized Debt Obligations leading to insolvency</t>
        </is>
      </c>
      <c r="F46" s="16" t="inlineStr">
        <is>
          <t>Credit Risk</t>
        </is>
      </c>
      <c r="G46" s="16" t="inlineStr">
        <is>
          <t>Strategic</t>
        </is>
      </c>
      <c r="H46" s="16" t="inlineStr">
        <is>
          <t>$3.2 billion</t>
        </is>
      </c>
      <c r="I46" s="34" t="n">
        <v>3200</v>
      </c>
    </row>
    <row r="47">
      <c r="A47" s="35" t="n">
        <v>42</v>
      </c>
      <c r="B47" s="36" t="inlineStr">
        <is>
          <t>Bernard L. Madoff Investment Securities LLC</t>
        </is>
      </c>
      <c r="C47" s="36" t="inlineStr">
        <is>
          <t>United States</t>
        </is>
      </c>
      <c r="D47" s="35" t="n">
        <v>2008</v>
      </c>
      <c r="E47" s="36" t="inlineStr">
        <is>
          <t>Ponzi Scheme</t>
        </is>
      </c>
      <c r="F47" s="36" t="inlineStr">
        <is>
          <t>Operational Risk</t>
        </is>
      </c>
      <c r="G47" s="36" t="inlineStr">
        <is>
          <t>Compliance</t>
        </is>
      </c>
      <c r="H47" s="36" t="inlineStr">
        <is>
          <t>$64.8 billion</t>
        </is>
      </c>
      <c r="I47" s="37" t="n">
        <v>64800</v>
      </c>
    </row>
    <row r="48">
      <c r="A48" s="23" t="n">
        <v>43</v>
      </c>
      <c r="B48" s="16" t="inlineStr">
        <is>
          <t>Bradford &amp; Bingley (UK)</t>
        </is>
      </c>
      <c r="C48" s="16" t="inlineStr">
        <is>
          <t>United Kingdom</t>
        </is>
      </c>
      <c r="D48" s="23" t="n">
        <v>2008</v>
      </c>
      <c r="E48" s="16" t="inlineStr">
        <is>
          <t>Overexposure to Buy-to-Let Mortgages</t>
        </is>
      </c>
      <c r="F48" s="16" t="inlineStr">
        <is>
          <t>Credit Risk</t>
        </is>
      </c>
      <c r="G48" s="16" t="inlineStr">
        <is>
          <t>Strategic</t>
        </is>
      </c>
      <c r="H48" s="16" t="inlineStr">
        <is>
          <t>£11 billion</t>
        </is>
      </c>
      <c r="I48" s="34" t="n">
        <v>14900</v>
      </c>
    </row>
    <row r="49">
      <c r="A49" s="35" t="n">
        <v>44</v>
      </c>
      <c r="B49" s="36" t="inlineStr">
        <is>
          <t>Bradford &amp; Bingley (UK)</t>
        </is>
      </c>
      <c r="C49" s="36" t="inlineStr">
        <is>
          <t>United Kingdom</t>
        </is>
      </c>
      <c r="D49" s="35" t="n">
        <v>2008</v>
      </c>
      <c r="E49" s="36" t="inlineStr">
        <is>
          <t>Overexposure to Subprime Mortgages</t>
        </is>
      </c>
      <c r="F49" s="36" t="inlineStr">
        <is>
          <t>Credit Risk</t>
        </is>
      </c>
      <c r="G49" s="36" t="inlineStr">
        <is>
          <t>Operations</t>
        </is>
      </c>
      <c r="H49" s="36" t="inlineStr">
        <is>
          <t>£18 billion</t>
        </is>
      </c>
      <c r="I49" s="37" t="n">
        <v>24300</v>
      </c>
    </row>
    <row r="50">
      <c r="A50" s="23" t="n">
        <v>45</v>
      </c>
      <c r="B50" s="16" t="inlineStr">
        <is>
          <t>Bradford &amp; Bingley (UK)</t>
        </is>
      </c>
      <c r="C50" s="16" t="inlineStr">
        <is>
          <t>United Kingdom</t>
        </is>
      </c>
      <c r="D50" s="23" t="n">
        <v>2008</v>
      </c>
      <c r="E50" s="16" t="inlineStr">
        <is>
          <t>Overexposure to Mortgage Market leading to insolvency</t>
        </is>
      </c>
      <c r="F50" s="16" t="inlineStr">
        <is>
          <t>Credit Risk</t>
        </is>
      </c>
      <c r="G50" s="16" t="inlineStr">
        <is>
          <t>Strategic</t>
        </is>
      </c>
      <c r="H50" s="16" t="inlineStr">
        <is>
          <t>£11 billion</t>
        </is>
      </c>
      <c r="I50" s="34" t="n">
        <v>14900</v>
      </c>
    </row>
    <row r="51">
      <c r="A51" s="35" t="n">
        <v>46</v>
      </c>
      <c r="B51" s="36" t="inlineStr">
        <is>
          <t>Caisse Centrale du Credit Immobilier de France (3CIF)</t>
        </is>
      </c>
      <c r="C51" s="36" t="inlineStr">
        <is>
          <t>France</t>
        </is>
      </c>
      <c r="D51" s="35" t="n">
        <v>2012</v>
      </c>
      <c r="E51" s="36" t="inlineStr">
        <is>
          <t>Overexposure to Real Estate Market</t>
        </is>
      </c>
      <c r="F51" s="36" t="inlineStr">
        <is>
          <t>Credit Risk</t>
        </is>
      </c>
      <c r="G51" s="36" t="inlineStr">
        <is>
          <t>Strategic</t>
        </is>
      </c>
      <c r="H51" s="36" t="inlineStr">
        <is>
          <t>€1.7 billion</t>
        </is>
      </c>
      <c r="I51" s="37" t="n">
        <v>2000</v>
      </c>
    </row>
    <row r="52">
      <c r="A52" s="23" t="n">
        <v>47</v>
      </c>
      <c r="B52" s="16" t="inlineStr">
        <is>
          <t>Caixa Economica Federal (Brazil)</t>
        </is>
      </c>
      <c r="C52" s="16" t="inlineStr">
        <is>
          <t>Brazil</t>
        </is>
      </c>
      <c r="D52" s="23" t="n">
        <v>2015</v>
      </c>
      <c r="E52" s="16" t="inlineStr">
        <is>
          <t>Corruption and Fraud</t>
        </is>
      </c>
      <c r="F52" s="16" t="inlineStr">
        <is>
          <t>Operational Risk</t>
        </is>
      </c>
      <c r="G52" s="16" t="inlineStr">
        <is>
          <t>Compliance</t>
        </is>
      </c>
      <c r="H52" s="16" t="inlineStr">
        <is>
          <t>$2 billion</t>
        </is>
      </c>
      <c r="I52" s="34" t="n">
        <v>2000</v>
      </c>
    </row>
    <row r="53">
      <c r="A53" s="35" t="n">
        <v>48</v>
      </c>
      <c r="B53" s="36" t="inlineStr">
        <is>
          <t>Caixa Geral de Depositos (Portugal)</t>
        </is>
      </c>
      <c r="C53" s="36" t="inlineStr">
        <is>
          <t>Portugal</t>
        </is>
      </c>
      <c r="D53" s="35" t="n">
        <v>2016</v>
      </c>
      <c r="E53" s="36" t="inlineStr">
        <is>
          <t>Mismanagement and Risky Business Practice</t>
        </is>
      </c>
      <c r="F53" s="36" t="inlineStr">
        <is>
          <t>Operational Risk</t>
        </is>
      </c>
      <c r="G53" s="36" t="inlineStr">
        <is>
          <t>Operations</t>
        </is>
      </c>
      <c r="H53" s="36" t="inlineStr">
        <is>
          <t>€1.86 billion</t>
        </is>
      </c>
      <c r="I53" s="37" t="n">
        <v>2200</v>
      </c>
    </row>
    <row r="54">
      <c r="A54" s="23" t="n">
        <v>49</v>
      </c>
      <c r="B54" s="16" t="inlineStr">
        <is>
          <t>Caja Madrid (Spain)</t>
        </is>
      </c>
      <c r="C54" s="16" t="inlineStr">
        <is>
          <t>Spain</t>
        </is>
      </c>
      <c r="D54" s="23" t="n">
        <v>2013</v>
      </c>
      <c r="E54" s="16" t="inlineStr">
        <is>
          <t>Credit Card Scandal and Mismanagement</t>
        </is>
      </c>
      <c r="F54" s="16" t="inlineStr">
        <is>
          <t>Credit Risk</t>
        </is>
      </c>
      <c r="G54" s="16" t="inlineStr">
        <is>
          <t>Operations</t>
        </is>
      </c>
      <c r="H54" s="16" t="inlineStr">
        <is>
          <t>€15 billion</t>
        </is>
      </c>
      <c r="I54" s="34" t="n">
        <v>17700</v>
      </c>
    </row>
    <row r="55">
      <c r="A55" s="35" t="n">
        <v>50</v>
      </c>
      <c r="B55" s="36" t="inlineStr">
        <is>
          <t>Capital One (US)</t>
        </is>
      </c>
      <c r="C55" s="36" t="inlineStr">
        <is>
          <t>United States</t>
        </is>
      </c>
      <c r="D55" s="35" t="n">
        <v>2019</v>
      </c>
      <c r="E55" s="36" t="inlineStr">
        <is>
          <t>Data Breach exposing customer data</t>
        </is>
      </c>
      <c r="F55" s="36" t="inlineStr">
        <is>
          <t>Operational Risk</t>
        </is>
      </c>
      <c r="G55" s="36" t="inlineStr">
        <is>
          <t>Operations</t>
        </is>
      </c>
      <c r="H55" s="36" t="inlineStr">
        <is>
          <t>$300 million</t>
        </is>
      </c>
      <c r="I55" s="37" t="n">
        <v>300</v>
      </c>
    </row>
    <row r="56">
      <c r="A56" s="23" t="n">
        <v>51</v>
      </c>
      <c r="B56" s="16" t="inlineStr">
        <is>
          <t>Carige Bank (Italy)</t>
        </is>
      </c>
      <c r="C56" s="16" t="inlineStr">
        <is>
          <t>Italy</t>
        </is>
      </c>
      <c r="D56" s="23" t="n">
        <v>2018</v>
      </c>
      <c r="E56" s="16" t="inlineStr">
        <is>
          <t>Poor Governance and Risk Management</t>
        </is>
      </c>
      <c r="F56" s="16" t="inlineStr">
        <is>
          <t>Operational Risk</t>
        </is>
      </c>
      <c r="G56" s="16" t="inlineStr">
        <is>
          <t>Operations</t>
        </is>
      </c>
      <c r="H56" s="16" t="inlineStr">
        <is>
          <t>€500 million</t>
        </is>
      </c>
      <c r="I56" s="34" t="n">
        <v>590</v>
      </c>
    </row>
    <row r="57">
      <c r="A57" s="35" t="n">
        <v>52</v>
      </c>
      <c r="B57" s="36" t="inlineStr">
        <is>
          <t>Carillion (UK)</t>
        </is>
      </c>
      <c r="C57" s="36" t="inlineStr">
        <is>
          <t>United Kingdom</t>
        </is>
      </c>
      <c r="D57" s="35" t="n">
        <v>2018</v>
      </c>
      <c r="E57" s="36" t="inlineStr">
        <is>
          <t>Debt and Pension Deficit Mismanagement</t>
        </is>
      </c>
      <c r="F57" s="36" t="inlineStr">
        <is>
          <t>Credit Risk</t>
        </is>
      </c>
      <c r="G57" s="36" t="inlineStr">
        <is>
          <t>Strategic</t>
        </is>
      </c>
      <c r="H57" s="36" t="inlineStr">
        <is>
          <t>£1.5 billion</t>
        </is>
      </c>
      <c r="I57" s="37" t="n">
        <v>2000</v>
      </c>
    </row>
    <row r="58">
      <c r="A58" s="23" t="n">
        <v>53</v>
      </c>
      <c r="B58" s="16" t="inlineStr">
        <is>
          <t>CIT Group</t>
        </is>
      </c>
      <c r="C58" s="16" t="inlineStr">
        <is>
          <t>United States</t>
        </is>
      </c>
      <c r="D58" s="23" t="n">
        <v>2009</v>
      </c>
      <c r="E58" s="16" t="inlineStr">
        <is>
          <t>Overexposure to Subprime Mortgages</t>
        </is>
      </c>
      <c r="F58" s="16" t="inlineStr">
        <is>
          <t>Credit Risk</t>
        </is>
      </c>
      <c r="G58" s="16" t="inlineStr">
        <is>
          <t>Strategic</t>
        </is>
      </c>
      <c r="H58" s="16" t="inlineStr">
        <is>
          <t>$2.3 billion</t>
        </is>
      </c>
      <c r="I58" s="34" t="n">
        <v>2300</v>
      </c>
    </row>
    <row r="59">
      <c r="A59" s="35" t="n">
        <v>54</v>
      </c>
      <c r="B59" s="36" t="inlineStr">
        <is>
          <t>Citigroup</t>
        </is>
      </c>
      <c r="C59" s="36" t="inlineStr">
        <is>
          <t>United States</t>
        </is>
      </c>
      <c r="D59" s="35" t="n">
        <v>2008</v>
      </c>
      <c r="E59" s="36" t="inlineStr">
        <is>
          <t>Overexposure to Subprime Mortgages</t>
        </is>
      </c>
      <c r="F59" s="36" t="inlineStr">
        <is>
          <t>Credit Risk</t>
        </is>
      </c>
      <c r="G59" s="36" t="inlineStr">
        <is>
          <t>Strategic</t>
        </is>
      </c>
      <c r="H59" s="36" t="inlineStr">
        <is>
          <t>$27.7 billion</t>
        </is>
      </c>
      <c r="I59" s="37" t="n">
        <v>27700</v>
      </c>
    </row>
    <row r="60">
      <c r="A60" s="23" t="n">
        <v>55</v>
      </c>
      <c r="B60" s="16" t="inlineStr">
        <is>
          <t>Colonial BancGroup</t>
        </is>
      </c>
      <c r="C60" s="16" t="inlineStr">
        <is>
          <t>United States</t>
        </is>
      </c>
      <c r="D60" s="23" t="n">
        <v>2009</v>
      </c>
      <c r="E60" s="16" t="inlineStr">
        <is>
          <t>Overexposure to Mortgage-backed Securities and Fraud</t>
        </is>
      </c>
      <c r="F60" s="16" t="inlineStr">
        <is>
          <t>Operational Risk</t>
        </is>
      </c>
      <c r="G60" s="16" t="inlineStr">
        <is>
          <t>Operations</t>
        </is>
      </c>
      <c r="H60" s="16" t="inlineStr">
        <is>
          <t>$2.8 billion</t>
        </is>
      </c>
      <c r="I60" s="34" t="n">
        <v>2800</v>
      </c>
    </row>
    <row r="61">
      <c r="A61" s="35" t="n">
        <v>56</v>
      </c>
      <c r="B61" s="36" t="inlineStr">
        <is>
          <t>Commerzbank (Germany)</t>
        </is>
      </c>
      <c r="C61" s="36" t="inlineStr">
        <is>
          <t>Germany</t>
        </is>
      </c>
      <c r="D61" s="35" t="n">
        <v>2008</v>
      </c>
      <c r="E61" s="36" t="inlineStr">
        <is>
          <t>Overexposure to Subprime Mortgages</t>
        </is>
      </c>
      <c r="F61" s="36" t="inlineStr">
        <is>
          <t>Credit Risk</t>
        </is>
      </c>
      <c r="G61" s="36" t="inlineStr">
        <is>
          <t>Strategic</t>
        </is>
      </c>
      <c r="H61" s="36" t="inlineStr">
        <is>
          <t>€6.5 billion</t>
        </is>
      </c>
      <c r="I61" s="37" t="n">
        <v>7700</v>
      </c>
    </row>
    <row r="62">
      <c r="A62" s="23" t="n">
        <v>57</v>
      </c>
      <c r="B62" s="16" t="inlineStr">
        <is>
          <t>Commonwealth Bank (Australia)</t>
        </is>
      </c>
      <c r="C62" s="16" t="inlineStr">
        <is>
          <t>Australia</t>
        </is>
      </c>
      <c r="D62" s="23" t="n">
        <v>2018</v>
      </c>
      <c r="E62" s="16" t="inlineStr">
        <is>
          <t>Money Laundering</t>
        </is>
      </c>
      <c r="F62" s="16" t="inlineStr">
        <is>
          <t>Operational Risk</t>
        </is>
      </c>
      <c r="G62" s="16" t="inlineStr">
        <is>
          <t>Compliance</t>
        </is>
      </c>
      <c r="H62" s="16" t="inlineStr">
        <is>
          <t>AUD 700 million</t>
        </is>
      </c>
      <c r="I62" s="34" t="n">
        <v>504</v>
      </c>
    </row>
    <row r="63">
      <c r="A63" s="35" t="n">
        <v>58</v>
      </c>
      <c r="B63" s="36" t="inlineStr">
        <is>
          <t>Cooperative Bank (UK)</t>
        </is>
      </c>
      <c r="C63" s="36" t="inlineStr">
        <is>
          <t>United Kingdom</t>
        </is>
      </c>
      <c r="D63" s="35" t="n">
        <v>2013</v>
      </c>
      <c r="E63" s="36" t="inlineStr">
        <is>
          <t>Mismanagement and Governance Failures</t>
        </is>
      </c>
      <c r="F63" s="36" t="inlineStr">
        <is>
          <t>Operational Risk</t>
        </is>
      </c>
      <c r="G63" s="36" t="inlineStr">
        <is>
          <t>Operations</t>
        </is>
      </c>
      <c r="H63" s="36" t="inlineStr">
        <is>
          <t>£1.5 billion</t>
        </is>
      </c>
      <c r="I63" s="37" t="n">
        <v>2000</v>
      </c>
    </row>
    <row r="64">
      <c r="A64" s="23" t="n">
        <v>59</v>
      </c>
      <c r="B64" s="16" t="inlineStr">
        <is>
          <t>Countrywide Financial</t>
        </is>
      </c>
      <c r="C64" s="16" t="inlineStr">
        <is>
          <t>United States</t>
        </is>
      </c>
      <c r="D64" s="23" t="n">
        <v>2008</v>
      </c>
      <c r="E64" s="16" t="inlineStr">
        <is>
          <t>Subprime Mortgage Lending and Fraud</t>
        </is>
      </c>
      <c r="F64" s="16" t="inlineStr">
        <is>
          <t>Operational Risk</t>
        </is>
      </c>
      <c r="G64" s="16" t="inlineStr">
        <is>
          <t>Strategic</t>
        </is>
      </c>
      <c r="H64" s="16" t="inlineStr">
        <is>
          <t>$8.7 billion</t>
        </is>
      </c>
      <c r="I64" s="34" t="n">
        <v>8700</v>
      </c>
    </row>
    <row r="65">
      <c r="A65" s="35" t="n">
        <v>60</v>
      </c>
      <c r="B65" s="36" t="inlineStr">
        <is>
          <t>Credit Suisse (Switzerland)</t>
        </is>
      </c>
      <c r="C65" s="36" t="inlineStr">
        <is>
          <t>Switzerland</t>
        </is>
      </c>
      <c r="D65" s="35" t="n">
        <v>2008</v>
      </c>
      <c r="E65" s="36" t="inlineStr">
        <is>
          <t>Overexposure to Subprime Mortgages</t>
        </is>
      </c>
      <c r="F65" s="36" t="inlineStr">
        <is>
          <t>Credit Risk</t>
        </is>
      </c>
      <c r="G65" s="36" t="inlineStr">
        <is>
          <t>Strategic</t>
        </is>
      </c>
      <c r="H65" s="36" t="inlineStr">
        <is>
          <t>$2.85 billion</t>
        </is>
      </c>
      <c r="I65" s="37" t="n">
        <v>2900</v>
      </c>
    </row>
    <row r="66">
      <c r="A66" s="23" t="n">
        <v>61</v>
      </c>
      <c r="B66" s="16" t="inlineStr">
        <is>
          <t>Credit Suisse (Switzerland)</t>
        </is>
      </c>
      <c r="C66" s="16" t="inlineStr">
        <is>
          <t>Switzerland</t>
        </is>
      </c>
      <c r="D66" s="23" t="n">
        <v>2016</v>
      </c>
      <c r="E66" s="16" t="inlineStr">
        <is>
          <t>Mozambique's Hidden Debt Scandal</t>
        </is>
      </c>
      <c r="F66" s="16" t="inlineStr">
        <is>
          <t>Credit Risk</t>
        </is>
      </c>
      <c r="G66" s="16" t="inlineStr">
        <is>
          <t>Compliance</t>
        </is>
      </c>
      <c r="H66" s="16" t="inlineStr">
        <is>
          <t>$2 billion</t>
        </is>
      </c>
      <c r="I66" s="34" t="n">
        <v>2000</v>
      </c>
    </row>
    <row r="67">
      <c r="A67" s="35" t="n">
        <v>62</v>
      </c>
      <c r="B67" s="36" t="inlineStr">
        <is>
          <t>Credit Suisse (Switzerland)</t>
        </is>
      </c>
      <c r="C67" s="36" t="inlineStr">
        <is>
          <t>Switzerland</t>
        </is>
      </c>
      <c r="D67" s="35" t="n">
        <v>2020</v>
      </c>
      <c r="E67" s="36" t="inlineStr">
        <is>
          <t>Spying Scandal</t>
        </is>
      </c>
      <c r="F67" s="36" t="inlineStr">
        <is>
          <t>Operational Risk</t>
        </is>
      </c>
      <c r="G67" s="36" t="inlineStr">
        <is>
          <t>Operations</t>
        </is>
      </c>
      <c r="H67" s="36" t="inlineStr">
        <is>
          <t>CHF 5 million</t>
        </is>
      </c>
      <c r="I67" s="37" t="n">
        <v>5.5</v>
      </c>
    </row>
    <row r="68">
      <c r="A68" s="23" t="n">
        <v>63</v>
      </c>
      <c r="B68" s="16" t="inlineStr">
        <is>
          <t>Danske Bank (Denmark)</t>
        </is>
      </c>
      <c r="C68" s="16" t="inlineStr">
        <is>
          <t>Denmark</t>
        </is>
      </c>
      <c r="D68" s="23" t="n">
        <v>2018</v>
      </c>
      <c r="E68" s="16" t="inlineStr">
        <is>
          <t>Money Laundering (200 billion)</t>
        </is>
      </c>
      <c r="F68" s="16" t="inlineStr">
        <is>
          <t>Operational Risk</t>
        </is>
      </c>
      <c r="G68" s="16" t="inlineStr">
        <is>
          <t>Compliance</t>
        </is>
      </c>
      <c r="H68" s="16" t="inlineStr">
        <is>
          <t>DKK 1.5 billion</t>
        </is>
      </c>
      <c r="I68" s="34" t="n">
        <v>240</v>
      </c>
    </row>
    <row r="69">
      <c r="A69" s="35" t="n">
        <v>64</v>
      </c>
      <c r="B69" s="36" t="inlineStr">
        <is>
          <t>DBS (Singapore)</t>
        </is>
      </c>
      <c r="C69" s="36" t="inlineStr">
        <is>
          <t>Singapore</t>
        </is>
      </c>
      <c r="D69" s="35" t="n">
        <v>2008</v>
      </c>
      <c r="E69" s="36" t="inlineStr">
        <is>
          <t>Overexposure to Lehman Brothers' Structured Products</t>
        </is>
      </c>
      <c r="F69" s="36" t="inlineStr">
        <is>
          <t>Credit Risk</t>
        </is>
      </c>
      <c r="G69" s="36" t="inlineStr">
        <is>
          <t>Operations</t>
        </is>
      </c>
      <c r="H69" s="36" t="inlineStr">
        <is>
          <t>SGD 1.03 billion</t>
        </is>
      </c>
      <c r="I69" s="37" t="n">
        <v>762</v>
      </c>
    </row>
    <row r="70">
      <c r="A70" s="23" t="n">
        <v>65</v>
      </c>
      <c r="B70" s="16" t="inlineStr">
        <is>
          <t>Delta National Bank and Trust Company (US)</t>
        </is>
      </c>
      <c r="C70" s="16" t="inlineStr">
        <is>
          <t>United States</t>
        </is>
      </c>
      <c r="D70" s="23" t="n">
        <v>2008</v>
      </c>
      <c r="E70" s="16" t="inlineStr">
        <is>
          <t>Subprime Mortgage Crisis</t>
        </is>
      </c>
      <c r="F70" s="16" t="inlineStr">
        <is>
          <t>Credit Risk</t>
        </is>
      </c>
      <c r="G70" s="16" t="inlineStr">
        <is>
          <t>Strategic</t>
        </is>
      </c>
      <c r="H70" s="16" t="inlineStr">
        <is>
          <t>$500 million</t>
        </is>
      </c>
      <c r="I70" s="34" t="n">
        <v>500</v>
      </c>
    </row>
    <row r="71">
      <c r="A71" s="35" t="n">
        <v>66</v>
      </c>
      <c r="B71" s="36" t="inlineStr">
        <is>
          <t>Depfa Bank (Germany)</t>
        </is>
      </c>
      <c r="C71" s="36" t="inlineStr">
        <is>
          <t>Germany</t>
        </is>
      </c>
      <c r="D71" s="35" t="n">
        <v>2008</v>
      </c>
      <c r="E71" s="36" t="inlineStr">
        <is>
          <t>Overexposure to Public Sector Funding during Financial Crisis</t>
        </is>
      </c>
      <c r="F71" s="36" t="inlineStr">
        <is>
          <t>Credit Risk</t>
        </is>
      </c>
      <c r="G71" s="36" t="inlineStr">
        <is>
          <t>Strategic</t>
        </is>
      </c>
      <c r="H71" s="36" t="inlineStr">
        <is>
          <t>€2.6 billion</t>
        </is>
      </c>
      <c r="I71" s="37" t="n">
        <v>3100</v>
      </c>
    </row>
    <row r="72">
      <c r="A72" s="23" t="n">
        <v>67</v>
      </c>
      <c r="B72" s="16" t="inlineStr">
        <is>
          <t>Deutsche Bank (Germany)</t>
        </is>
      </c>
      <c r="C72" s="16" t="inlineStr">
        <is>
          <t>Germany</t>
        </is>
      </c>
      <c r="D72" s="23" t="n">
        <v>2018</v>
      </c>
      <c r="E72" s="16" t="inlineStr">
        <is>
          <t>Money Laundering</t>
        </is>
      </c>
      <c r="F72" s="16" t="inlineStr">
        <is>
          <t>Operational Risk</t>
        </is>
      </c>
      <c r="G72" s="16" t="inlineStr">
        <is>
          <t>Compliance</t>
        </is>
      </c>
      <c r="H72" s="16" t="inlineStr">
        <is>
          <t>$630 million</t>
        </is>
      </c>
      <c r="I72" s="34" t="n">
        <v>630</v>
      </c>
    </row>
    <row r="73">
      <c r="A73" s="35" t="n">
        <v>68</v>
      </c>
      <c r="B73" s="36" t="inlineStr">
        <is>
          <t>Dewan Housing Finance Corporation (India)</t>
        </is>
      </c>
      <c r="C73" s="36" t="inlineStr">
        <is>
          <t>India</t>
        </is>
      </c>
      <c r="D73" s="35" t="n">
        <v>2019</v>
      </c>
      <c r="E73" s="36" t="inlineStr">
        <is>
          <t>Fraud and Mismanagement</t>
        </is>
      </c>
      <c r="F73" s="36" t="inlineStr">
        <is>
          <t>Operational Risk</t>
        </is>
      </c>
      <c r="G73" s="36" t="inlineStr">
        <is>
          <t>Operations</t>
        </is>
      </c>
      <c r="H73" s="36" t="inlineStr">
        <is>
          <t>$4 billion</t>
        </is>
      </c>
      <c r="I73" s="37" t="n">
        <v>4000</v>
      </c>
    </row>
    <row r="74">
      <c r="A74" s="23" t="n">
        <v>69</v>
      </c>
      <c r="B74" s="16" t="inlineStr">
        <is>
          <t>Dexia (Belgium)</t>
        </is>
      </c>
      <c r="C74" s="16" t="inlineStr">
        <is>
          <t>Belgium</t>
        </is>
      </c>
      <c r="D74" s="23" t="n">
        <v>2011</v>
      </c>
      <c r="E74" s="16" t="inlineStr">
        <is>
          <t>Overexposure to Greek Debt</t>
        </is>
      </c>
      <c r="F74" s="16" t="inlineStr">
        <is>
          <t>Credit Risk</t>
        </is>
      </c>
      <c r="G74" s="16" t="inlineStr">
        <is>
          <t>Strategic</t>
        </is>
      </c>
      <c r="H74" s="16" t="inlineStr">
        <is>
          <t>€4 billion</t>
        </is>
      </c>
      <c r="I74" s="34" t="n">
        <v>4700</v>
      </c>
    </row>
    <row r="75">
      <c r="A75" s="35" t="n">
        <v>70</v>
      </c>
      <c r="B75" s="36" t="inlineStr">
        <is>
          <t>Enron</t>
        </is>
      </c>
      <c r="C75" s="36" t="inlineStr">
        <is>
          <t>United States</t>
        </is>
      </c>
      <c r="D75" s="35" t="n">
        <v>2001</v>
      </c>
      <c r="E75" s="36" t="inlineStr">
        <is>
          <t>Accounting Fraud</t>
        </is>
      </c>
      <c r="F75" s="36" t="inlineStr">
        <is>
          <t>Operational Risk</t>
        </is>
      </c>
      <c r="G75" s="36" t="inlineStr">
        <is>
          <t>Reporting</t>
        </is>
      </c>
      <c r="H75" s="36" t="inlineStr">
        <is>
          <t>$74 billion</t>
        </is>
      </c>
      <c r="I75" s="37" t="n">
        <v>74000</v>
      </c>
    </row>
    <row r="76">
      <c r="A76" s="23" t="n">
        <v>71</v>
      </c>
      <c r="B76" s="16" t="inlineStr">
        <is>
          <t>Equifax (US)</t>
        </is>
      </c>
      <c r="C76" s="16" t="inlineStr">
        <is>
          <t>United States</t>
        </is>
      </c>
      <c r="D76" s="23" t="n">
        <v>2017</v>
      </c>
      <c r="E76" s="16" t="inlineStr">
        <is>
          <t>Data Breach</t>
        </is>
      </c>
      <c r="F76" s="16" t="inlineStr">
        <is>
          <t>Operational Risk</t>
        </is>
      </c>
      <c r="G76" s="16" t="inlineStr">
        <is>
          <t>Operations</t>
        </is>
      </c>
      <c r="H76" s="16" t="inlineStr">
        <is>
          <t>$1.38 billion</t>
        </is>
      </c>
      <c r="I76" s="34" t="n">
        <v>1400</v>
      </c>
    </row>
    <row r="77">
      <c r="A77" s="35" t="n">
        <v>72</v>
      </c>
      <c r="B77" s="36" t="inlineStr">
        <is>
          <t>Equitable Life (UK)</t>
        </is>
      </c>
      <c r="C77" s="36" t="inlineStr">
        <is>
          <t>United Kingdom</t>
        </is>
      </c>
      <c r="D77" s="35" t="n">
        <v>2000</v>
      </c>
      <c r="E77" s="36" t="inlineStr">
        <is>
          <t>Over-optimistic valuation of liabilities leading to insolvency</t>
        </is>
      </c>
      <c r="F77" s="36" t="inlineStr">
        <is>
          <t>Liquidity Risk</t>
        </is>
      </c>
      <c r="G77" s="36" t="inlineStr">
        <is>
          <t>Strategic</t>
        </is>
      </c>
      <c r="H77" s="36" t="inlineStr">
        <is>
          <t>£1.5 billion</t>
        </is>
      </c>
      <c r="I77" s="37" t="n">
        <v>2000</v>
      </c>
    </row>
    <row r="78">
      <c r="A78" s="23" t="n">
        <v>73</v>
      </c>
      <c r="B78" s="16" t="inlineStr">
        <is>
          <t>Erste Group Bank (Austria)</t>
        </is>
      </c>
      <c r="C78" s="16" t="inlineStr">
        <is>
          <t>Austria</t>
        </is>
      </c>
      <c r="D78" s="23" t="n">
        <v>2014</v>
      </c>
      <c r="E78" s="16" t="inlineStr">
        <is>
          <t>Overexposure to Eastern European Markets</t>
        </is>
      </c>
      <c r="F78" s="16" t="inlineStr">
        <is>
          <t>Credit Risk</t>
        </is>
      </c>
      <c r="G78" s="16" t="inlineStr">
        <is>
          <t>Strategic</t>
        </is>
      </c>
      <c r="H78" s="16" t="inlineStr">
        <is>
          <t>€1.6 billion</t>
        </is>
      </c>
      <c r="I78" s="34" t="n">
        <v>1900</v>
      </c>
    </row>
    <row r="79">
      <c r="A79" s="35" t="n">
        <v>74</v>
      </c>
      <c r="B79" s="36" t="inlineStr">
        <is>
          <t>Fannie Mae</t>
        </is>
      </c>
      <c r="C79" s="36" t="inlineStr">
        <is>
          <t>United States</t>
        </is>
      </c>
      <c r="D79" s="35" t="n">
        <v>2004</v>
      </c>
      <c r="E79" s="36" t="inlineStr">
        <is>
          <t>Accounting Fraud</t>
        </is>
      </c>
      <c r="F79" s="36" t="inlineStr">
        <is>
          <t>Operational Risk</t>
        </is>
      </c>
      <c r="G79" s="36" t="inlineStr">
        <is>
          <t>Reporting</t>
        </is>
      </c>
      <c r="H79" s="36" t="inlineStr">
        <is>
          <t>$11 billion</t>
        </is>
      </c>
      <c r="I79" s="37" t="n">
        <v>11000</v>
      </c>
    </row>
    <row r="80">
      <c r="A80" s="23" t="n">
        <v>75</v>
      </c>
      <c r="B80" s="16" t="inlineStr">
        <is>
          <t>Fannie Mae and Freddie Mac</t>
        </is>
      </c>
      <c r="C80" s="16" t="inlineStr">
        <is>
          <t>United States</t>
        </is>
      </c>
      <c r="D80" s="23" t="n">
        <v>2008</v>
      </c>
      <c r="E80" s="16" t="inlineStr">
        <is>
          <t>Overexposure to Mortgage-backed Securities</t>
        </is>
      </c>
      <c r="F80" s="16" t="inlineStr">
        <is>
          <t>Credit Risk</t>
        </is>
      </c>
      <c r="G80" s="16" t="inlineStr">
        <is>
          <t>Strategic</t>
        </is>
      </c>
      <c r="H80" s="16" t="inlineStr">
        <is>
          <t>$187 billion</t>
        </is>
      </c>
      <c r="I80" s="34" t="n">
        <v>187000</v>
      </c>
    </row>
    <row r="81">
      <c r="A81" s="35" t="n">
        <v>76</v>
      </c>
      <c r="B81" s="36" t="inlineStr">
        <is>
          <t>First National Bank of Keystone (USA)</t>
        </is>
      </c>
      <c r="C81" s="36" t="inlineStr">
        <is>
          <t>United States</t>
        </is>
      </c>
      <c r="D81" s="35" t="n">
        <v>1999</v>
      </c>
      <c r="E81" s="36" t="inlineStr">
        <is>
          <t>Fraud and Operational Risk</t>
        </is>
      </c>
      <c r="F81" s="36" t="inlineStr">
        <is>
          <t>Operational Risk</t>
        </is>
      </c>
      <c r="G81" s="36" t="inlineStr">
        <is>
          <t>Operations</t>
        </is>
      </c>
      <c r="H81" s="36" t="inlineStr">
        <is>
          <t>$800 million</t>
        </is>
      </c>
      <c r="I81" s="37" t="n">
        <v>800</v>
      </c>
    </row>
    <row r="82">
      <c r="A82" s="23" t="n">
        <v>77</v>
      </c>
      <c r="B82" s="16" t="inlineStr">
        <is>
          <t>Fortis (Belgium)</t>
        </is>
      </c>
      <c r="C82" s="16" t="inlineStr">
        <is>
          <t>Belgium</t>
        </is>
      </c>
      <c r="D82" s="23" t="n">
        <v>2008</v>
      </c>
      <c r="E82" s="16" t="inlineStr">
        <is>
          <t>Inadequate Risk Management during ABN AMRO Acquisition</t>
        </is>
      </c>
      <c r="F82" s="16" t="inlineStr">
        <is>
          <t>Strategic Risk</t>
        </is>
      </c>
      <c r="G82" s="16" t="inlineStr">
        <is>
          <t>Strategic</t>
        </is>
      </c>
      <c r="H82" s="16" t="inlineStr">
        <is>
          <t>$53 billion</t>
        </is>
      </c>
      <c r="I82" s="34" t="n">
        <v>53000</v>
      </c>
    </row>
    <row r="83">
      <c r="A83" s="35" t="n">
        <v>78</v>
      </c>
      <c r="B83" s="36" t="inlineStr">
        <is>
          <t>Fortis (Belgium/Netherlands)</t>
        </is>
      </c>
      <c r="C83" s="36" t="inlineStr">
        <is>
          <t>Belgium</t>
        </is>
      </c>
      <c r="D83" s="35" t="n">
        <v>2008</v>
      </c>
      <c r="E83" s="36" t="inlineStr">
        <is>
          <t>Overexposure to Subprime Mortgage Market leading to insolvency</t>
        </is>
      </c>
      <c r="F83" s="36" t="inlineStr">
        <is>
          <t>Credit Risk</t>
        </is>
      </c>
      <c r="G83" s="36" t="inlineStr">
        <is>
          <t>Strategic</t>
        </is>
      </c>
      <c r="H83" s="36" t="inlineStr">
        <is>
          <t>€23.5 billion</t>
        </is>
      </c>
      <c r="I83" s="37" t="n">
        <v>27700</v>
      </c>
    </row>
    <row r="84">
      <c r="A84" s="23" t="n">
        <v>79</v>
      </c>
      <c r="B84" s="16" t="inlineStr">
        <is>
          <t>Freddie Mac</t>
        </is>
      </c>
      <c r="C84" s="16" t="inlineStr">
        <is>
          <t>United States</t>
        </is>
      </c>
      <c r="D84" s="23" t="n">
        <v>2003</v>
      </c>
      <c r="E84" s="16" t="inlineStr">
        <is>
          <t>Accounting Fraud</t>
        </is>
      </c>
      <c r="F84" s="16" t="inlineStr">
        <is>
          <t>Operational Risk</t>
        </is>
      </c>
      <c r="G84" s="16" t="inlineStr">
        <is>
          <t>Reporting</t>
        </is>
      </c>
      <c r="H84" s="16" t="inlineStr">
        <is>
          <t>$5 billion</t>
        </is>
      </c>
      <c r="I84" s="34" t="n">
        <v>5000</v>
      </c>
    </row>
    <row r="85">
      <c r="A85" s="35" t="n">
        <v>80</v>
      </c>
      <c r="B85" s="36" t="inlineStr">
        <is>
          <t>Fremont General Corporation</t>
        </is>
      </c>
      <c r="C85" s="36" t="inlineStr">
        <is>
          <t>United States</t>
        </is>
      </c>
      <c r="D85" s="35" t="n">
        <v>2007</v>
      </c>
      <c r="E85" s="36" t="inlineStr">
        <is>
          <t>Subprime Lending and Regulatory Issues</t>
        </is>
      </c>
      <c r="F85" s="36" t="inlineStr">
        <is>
          <t>Credit Risk</t>
        </is>
      </c>
      <c r="G85" s="36" t="inlineStr">
        <is>
          <t>Compliance</t>
        </is>
      </c>
      <c r="H85" s="36" t="inlineStr">
        <is>
          <t>$6.9 billion</t>
        </is>
      </c>
      <c r="I85" s="37" t="n">
        <v>6900</v>
      </c>
    </row>
    <row r="86">
      <c r="A86" s="23" t="n">
        <v>81</v>
      </c>
      <c r="B86" s="16" t="inlineStr">
        <is>
          <t>Glitnir (Iceland)</t>
        </is>
      </c>
      <c r="C86" s="16" t="inlineStr">
        <is>
          <t>Iceland</t>
        </is>
      </c>
      <c r="D86" s="23" t="n">
        <v>2008</v>
      </c>
      <c r="E86" s="16" t="inlineStr">
        <is>
          <t>Overexposure to Wholesale Funding Market</t>
        </is>
      </c>
      <c r="F86" s="16" t="inlineStr">
        <is>
          <t>Credit Risk</t>
        </is>
      </c>
      <c r="G86" s="16" t="inlineStr">
        <is>
          <t>Strategic</t>
        </is>
      </c>
      <c r="H86" s="16" t="inlineStr">
        <is>
          <t>€1.6 billion</t>
        </is>
      </c>
      <c r="I86" s="34" t="n">
        <v>1900</v>
      </c>
    </row>
    <row r="87">
      <c r="A87" s="35" t="n">
        <v>82</v>
      </c>
      <c r="B87" s="36" t="inlineStr">
        <is>
          <t>Global Crossing</t>
        </is>
      </c>
      <c r="C87" s="36" t="inlineStr">
        <is>
          <t>United States</t>
        </is>
      </c>
      <c r="D87" s="35" t="n">
        <v>2002</v>
      </c>
      <c r="E87" s="36" t="inlineStr">
        <is>
          <t>Accounting Fraud and Misrepresentation</t>
        </is>
      </c>
      <c r="F87" s="36" t="inlineStr">
        <is>
          <t>Operational Risk</t>
        </is>
      </c>
      <c r="G87" s="36" t="inlineStr">
        <is>
          <t>Reporting</t>
        </is>
      </c>
      <c r="H87" s="36" t="inlineStr">
        <is>
          <t>$22.4 billion</t>
        </is>
      </c>
      <c r="I87" s="37" t="n">
        <v>22400</v>
      </c>
    </row>
    <row r="88">
      <c r="A88" s="23" t="n">
        <v>83</v>
      </c>
      <c r="B88" s="16" t="inlineStr">
        <is>
          <t>HBL (Pakistan)</t>
        </is>
      </c>
      <c r="C88" s="16" t="inlineStr">
        <is>
          <t>Pakistan</t>
        </is>
      </c>
      <c r="D88" s="23" t="n">
        <v>2017</v>
      </c>
      <c r="E88" s="16" t="inlineStr">
        <is>
          <t>Money Laundering</t>
        </is>
      </c>
      <c r="F88" s="16" t="inlineStr">
        <is>
          <t>Operational Risk</t>
        </is>
      </c>
      <c r="G88" s="16" t="inlineStr">
        <is>
          <t>Compliance</t>
        </is>
      </c>
      <c r="H88" s="16" t="inlineStr">
        <is>
          <t>$225 million</t>
        </is>
      </c>
      <c r="I88" s="34" t="n">
        <v>225</v>
      </c>
    </row>
    <row r="89">
      <c r="A89" s="35" t="n">
        <v>84</v>
      </c>
      <c r="B89" s="36" t="inlineStr">
        <is>
          <t>HBOS (UK)</t>
        </is>
      </c>
      <c r="C89" s="36" t="inlineStr">
        <is>
          <t>United Kingdom</t>
        </is>
      </c>
      <c r="D89" s="35" t="n">
        <v>2008</v>
      </c>
      <c r="E89" s="36" t="inlineStr">
        <is>
          <t>Overexposure to Property Market leading to insolvency</t>
        </is>
      </c>
      <c r="F89" s="36" t="inlineStr">
        <is>
          <t>Credit Risk</t>
        </is>
      </c>
      <c r="G89" s="36" t="inlineStr">
        <is>
          <t>Strategic</t>
        </is>
      </c>
      <c r="H89" s="36" t="inlineStr">
        <is>
          <t>£10 billion</t>
        </is>
      </c>
      <c r="I89" s="37" t="n">
        <v>13500</v>
      </c>
    </row>
    <row r="90">
      <c r="A90" s="23" t="n">
        <v>85</v>
      </c>
      <c r="B90" s="16" t="inlineStr">
        <is>
          <t>HealthSouth Corporation</t>
        </is>
      </c>
      <c r="C90" s="16" t="inlineStr">
        <is>
          <t>United States</t>
        </is>
      </c>
      <c r="D90" s="23" t="n">
        <v>2003</v>
      </c>
      <c r="E90" s="16" t="inlineStr">
        <is>
          <t>Accounting Fraud</t>
        </is>
      </c>
      <c r="F90" s="16" t="inlineStr">
        <is>
          <t>Operational Risk</t>
        </is>
      </c>
      <c r="G90" s="16" t="inlineStr">
        <is>
          <t>Reporting</t>
        </is>
      </c>
      <c r="H90" s="16" t="inlineStr">
        <is>
          <t>$2.7 billion</t>
        </is>
      </c>
      <c r="I90" s="34" t="n">
        <v>2700</v>
      </c>
    </row>
    <row r="91">
      <c r="A91" s="35" t="n">
        <v>86</v>
      </c>
      <c r="B91" s="36" t="inlineStr">
        <is>
          <t>HIH Insurance (Australia)</t>
        </is>
      </c>
      <c r="C91" s="36" t="inlineStr">
        <is>
          <t>Australia</t>
        </is>
      </c>
      <c r="D91" s="35" t="n">
        <v>2001</v>
      </c>
      <c r="E91" s="36" t="inlineStr">
        <is>
          <t>Fraud and Inadequate Risk Management</t>
        </is>
      </c>
      <c r="F91" s="36" t="inlineStr">
        <is>
          <t>Operational Risk</t>
        </is>
      </c>
      <c r="G91" s="36" t="inlineStr">
        <is>
          <t>Operations</t>
        </is>
      </c>
      <c r="H91" s="36" t="inlineStr">
        <is>
          <t>$5.3 billion AUD</t>
        </is>
      </c>
      <c r="I91" s="37" t="n">
        <v>5300</v>
      </c>
    </row>
    <row r="92">
      <c r="A92" s="23" t="n">
        <v>87</v>
      </c>
      <c r="B92" s="16" t="inlineStr">
        <is>
          <t>HSBC</t>
        </is>
      </c>
      <c r="C92" s="16" t="inlineStr">
        <is>
          <t>United Kingdom</t>
        </is>
      </c>
      <c r="D92" s="23" t="n">
        <v>2012</v>
      </c>
      <c r="E92" s="16" t="inlineStr">
        <is>
          <t>Money Laundering and Sanctions Breaching</t>
        </is>
      </c>
      <c r="F92" s="16" t="inlineStr">
        <is>
          <t>Operational Risk</t>
        </is>
      </c>
      <c r="G92" s="16" t="inlineStr">
        <is>
          <t>Compliance</t>
        </is>
      </c>
      <c r="H92" s="16" t="inlineStr">
        <is>
          <t>$1.9 billion</t>
        </is>
      </c>
      <c r="I92" s="34" t="n">
        <v>1900</v>
      </c>
    </row>
    <row r="93">
      <c r="A93" s="35" t="n">
        <v>88</v>
      </c>
      <c r="B93" s="36" t="inlineStr">
        <is>
          <t>HSH Nordbank (Germany)</t>
        </is>
      </c>
      <c r="C93" s="36" t="inlineStr">
        <is>
          <t>Germany</t>
        </is>
      </c>
      <c r="D93" s="35" t="n">
        <v>2008</v>
      </c>
      <c r="E93" s="36" t="inlineStr">
        <is>
          <t>Overexposure to Subprime Mortgages and Shipping Loans</t>
        </is>
      </c>
      <c r="F93" s="36" t="inlineStr">
        <is>
          <t>Credit Risk</t>
        </is>
      </c>
      <c r="G93" s="36" t="inlineStr">
        <is>
          <t>Strategic</t>
        </is>
      </c>
      <c r="H93" s="36" t="inlineStr">
        <is>
          <t>€2 billion</t>
        </is>
      </c>
      <c r="I93" s="37" t="n">
        <v>2400</v>
      </c>
    </row>
    <row r="94">
      <c r="A94" s="23" t="n">
        <v>89</v>
      </c>
      <c r="B94" s="16" t="inlineStr">
        <is>
          <t>Hwang's Archegos Capital Management</t>
        </is>
      </c>
      <c r="C94" s="16" t="inlineStr">
        <is>
          <t>United States</t>
        </is>
      </c>
      <c r="D94" s="23" t="n">
        <v>2021</v>
      </c>
      <c r="E94" s="16" t="inlineStr">
        <is>
          <t>Uncontrolled Leverage and Concentration Risk</t>
        </is>
      </c>
      <c r="F94" s="16" t="inlineStr">
        <is>
          <t>Market Risk</t>
        </is>
      </c>
      <c r="G94" s="16" t="inlineStr">
        <is>
          <t>Operations</t>
        </is>
      </c>
      <c r="H94" s="16" t="inlineStr">
        <is>
          <t>$20 billion</t>
        </is>
      </c>
      <c r="I94" s="34" t="n">
        <v>20000</v>
      </c>
    </row>
    <row r="95">
      <c r="A95" s="35" t="n">
        <v>90</v>
      </c>
      <c r="B95" s="36" t="inlineStr">
        <is>
          <t>Hypo Alpe-Adria-Bank International (Austria)</t>
        </is>
      </c>
      <c r="C95" s="36" t="inlineStr">
        <is>
          <t>Austria</t>
        </is>
      </c>
      <c r="D95" s="35" t="n">
        <v>2009</v>
      </c>
      <c r="E95" s="36" t="inlineStr">
        <is>
          <t>Rapid Expansion and Overexposure to Balkans Real Estate Market</t>
        </is>
      </c>
      <c r="F95" s="36" t="inlineStr">
        <is>
          <t>Credit Risk</t>
        </is>
      </c>
      <c r="G95" s="36" t="inlineStr">
        <is>
          <t>Strategic</t>
        </is>
      </c>
      <c r="H95" s="36" t="inlineStr">
        <is>
          <t>€7.6 billion</t>
        </is>
      </c>
      <c r="I95" s="37" t="n">
        <v>9000</v>
      </c>
    </row>
    <row r="96">
      <c r="A96" s="23" t="n">
        <v>91</v>
      </c>
      <c r="B96" s="16" t="inlineStr">
        <is>
          <t>Hypo Real Estate (Germany)</t>
        </is>
      </c>
      <c r="C96" s="16" t="inlineStr">
        <is>
          <t>Germany</t>
        </is>
      </c>
      <c r="D96" s="23" t="n">
        <v>2008</v>
      </c>
      <c r="E96" s="16" t="inlineStr">
        <is>
          <t>Overexposure to Mortgage Backed Securities</t>
        </is>
      </c>
      <c r="F96" s="16" t="inlineStr">
        <is>
          <t>Credit Risk</t>
        </is>
      </c>
      <c r="G96" s="16" t="inlineStr">
        <is>
          <t>Strategic</t>
        </is>
      </c>
      <c r="H96" s="16" t="inlineStr">
        <is>
          <t>€10 billion</t>
        </is>
      </c>
      <c r="I96" s="34" t="n">
        <v>11800</v>
      </c>
    </row>
    <row r="97">
      <c r="A97" s="35" t="n">
        <v>92</v>
      </c>
      <c r="B97" s="36" t="inlineStr">
        <is>
          <t>Hypo Real Estate (Germany)</t>
        </is>
      </c>
      <c r="C97" s="36" t="inlineStr">
        <is>
          <t>Germany</t>
        </is>
      </c>
      <c r="D97" s="35" t="n">
        <v>2008</v>
      </c>
      <c r="E97" s="36" t="inlineStr">
        <is>
          <t>Overexposure to Mortgage-Backed Securities leading to insolvency</t>
        </is>
      </c>
      <c r="F97" s="36" t="inlineStr">
        <is>
          <t>Credit Risk</t>
        </is>
      </c>
      <c r="G97" s="36" t="inlineStr">
        <is>
          <t>Strategic</t>
        </is>
      </c>
      <c r="H97" s="36" t="inlineStr">
        <is>
          <t>$64.48 billion</t>
        </is>
      </c>
      <c r="I97" s="37" t="n">
        <v>64500</v>
      </c>
    </row>
    <row r="98">
      <c r="A98" s="23" t="n">
        <v>93</v>
      </c>
      <c r="B98" s="16" t="inlineStr">
        <is>
          <t>ICBC (China)</t>
        </is>
      </c>
      <c r="C98" s="16" t="inlineStr">
        <is>
          <t>China</t>
        </is>
      </c>
      <c r="D98" s="23" t="n">
        <v>2020</v>
      </c>
      <c r="E98" s="16" t="inlineStr">
        <is>
          <t>Overexposure to Bad Loans</t>
        </is>
      </c>
      <c r="F98" s="16" t="inlineStr">
        <is>
          <t>Credit Risk</t>
        </is>
      </c>
      <c r="G98" s="16" t="inlineStr">
        <is>
          <t>Strategic</t>
        </is>
      </c>
      <c r="H98" s="16" t="inlineStr">
        <is>
          <t>CNY 45.6 billion</t>
        </is>
      </c>
      <c r="I98" s="34" t="n">
        <v>6800</v>
      </c>
    </row>
    <row r="99">
      <c r="A99" s="35" t="n">
        <v>94</v>
      </c>
      <c r="B99" s="36" t="inlineStr">
        <is>
          <t>Icelandic Banks (Kaupthing, Landsbanki, Glitnir)</t>
        </is>
      </c>
      <c r="C99" s="36" t="inlineStr">
        <is>
          <t>Iceland</t>
        </is>
      </c>
      <c r="D99" s="35" t="n">
        <v>2008</v>
      </c>
      <c r="E99" s="36" t="inlineStr">
        <is>
          <t>Overexpansion and Overexposure to Financial Market</t>
        </is>
      </c>
      <c r="F99" s="36" t="inlineStr">
        <is>
          <t>Credit Risk</t>
        </is>
      </c>
      <c r="G99" s="36" t="inlineStr">
        <is>
          <t>Strategic</t>
        </is>
      </c>
      <c r="H99" s="36" t="inlineStr">
        <is>
          <t>$85 billion</t>
        </is>
      </c>
      <c r="I99" s="37" t="n">
        <v>85000</v>
      </c>
    </row>
    <row r="100">
      <c r="A100" s="23" t="n">
        <v>95</v>
      </c>
      <c r="B100" s="16" t="inlineStr">
        <is>
          <t>Icesave (Iceland)</t>
        </is>
      </c>
      <c r="C100" s="16" t="inlineStr">
        <is>
          <t>Iceland</t>
        </is>
      </c>
      <c r="D100" s="23" t="n">
        <v>2008</v>
      </c>
      <c r="E100" s="16" t="inlineStr">
        <is>
          <t>Overexposure to Wholesale Funding Market</t>
        </is>
      </c>
      <c r="F100" s="16" t="inlineStr">
        <is>
          <t>Credit Risk</t>
        </is>
      </c>
      <c r="G100" s="16" t="inlineStr">
        <is>
          <t>Strategic</t>
        </is>
      </c>
      <c r="H100" s="16" t="inlineStr">
        <is>
          <t>£4.5 billion</t>
        </is>
      </c>
      <c r="I100" s="34" t="n">
        <v>6100</v>
      </c>
    </row>
    <row r="101">
      <c r="A101" s="35" t="n">
        <v>96</v>
      </c>
      <c r="B101" s="36" t="inlineStr">
        <is>
          <t>IndyMac Bancorp</t>
        </is>
      </c>
      <c r="C101" s="36" t="inlineStr">
        <is>
          <t>United States</t>
        </is>
      </c>
      <c r="D101" s="35" t="n">
        <v>2008</v>
      </c>
      <c r="E101" s="36" t="inlineStr">
        <is>
          <t>Overexposure to Alt-A Loans</t>
        </is>
      </c>
      <c r="F101" s="36" t="inlineStr">
        <is>
          <t>Credit Risk</t>
        </is>
      </c>
      <c r="G101" s="36" t="inlineStr">
        <is>
          <t>Strategic</t>
        </is>
      </c>
      <c r="H101" s="36" t="inlineStr">
        <is>
          <t>$10.7 billion</t>
        </is>
      </c>
      <c r="I101" s="37" t="n">
        <v>10700</v>
      </c>
    </row>
    <row r="102">
      <c r="A102" s="23" t="n">
        <v>97</v>
      </c>
      <c r="B102" s="16" t="inlineStr">
        <is>
          <t>Irish Life and Permanent (Ireland)</t>
        </is>
      </c>
      <c r="C102" s="16" t="inlineStr">
        <is>
          <t>Ireland</t>
        </is>
      </c>
      <c r="D102" s="23" t="n">
        <v>2010</v>
      </c>
      <c r="E102" s="16" t="inlineStr">
        <is>
          <t>Overexposure to Property Loans</t>
        </is>
      </c>
      <c r="F102" s="16" t="inlineStr">
        <is>
          <t>Credit Risk</t>
        </is>
      </c>
      <c r="G102" s="16" t="inlineStr">
        <is>
          <t>Reporting</t>
        </is>
      </c>
      <c r="H102" s="16" t="inlineStr">
        <is>
          <t>€4 billion</t>
        </is>
      </c>
      <c r="I102" s="34" t="n">
        <v>4700</v>
      </c>
    </row>
    <row r="103">
      <c r="A103" s="35" t="n">
        <v>98</v>
      </c>
      <c r="B103" s="36" t="inlineStr">
        <is>
          <t>Irish Nationwide Building Society (Ireland)</t>
        </is>
      </c>
      <c r="C103" s="36" t="inlineStr">
        <is>
          <t>Ireland</t>
        </is>
      </c>
      <c r="D103" s="35" t="n">
        <v>2010</v>
      </c>
      <c r="E103" s="36" t="inlineStr">
        <is>
          <t>Overexposure to Commercial Property Loans</t>
        </is>
      </c>
      <c r="F103" s="36" t="inlineStr">
        <is>
          <t>Credit Risk</t>
        </is>
      </c>
      <c r="G103" s="36" t="inlineStr">
        <is>
          <t>Operations</t>
        </is>
      </c>
      <c r="H103" s="36" t="inlineStr">
        <is>
          <t>€5.4 billion</t>
        </is>
      </c>
      <c r="I103" s="37" t="n">
        <v>6400</v>
      </c>
    </row>
    <row r="104">
      <c r="A104" s="23" t="n">
        <v>99</v>
      </c>
      <c r="B104" s="16" t="inlineStr">
        <is>
          <t>Irwin Financial Corporation</t>
        </is>
      </c>
      <c r="C104" s="16" t="inlineStr">
        <is>
          <t>United States</t>
        </is>
      </c>
      <c r="D104" s="23" t="n">
        <v>2009</v>
      </c>
      <c r="E104" s="16" t="inlineStr">
        <is>
          <t>Overexposure to Home Equity Loans</t>
        </is>
      </c>
      <c r="F104" s="16" t="inlineStr">
        <is>
          <t>Credit Risk</t>
        </is>
      </c>
      <c r="G104" s="16" t="inlineStr">
        <is>
          <t>Strategic</t>
        </is>
      </c>
      <c r="H104" s="16" t="inlineStr">
        <is>
          <t>$1 billion</t>
        </is>
      </c>
      <c r="I104" s="34" t="n">
        <v>1000</v>
      </c>
    </row>
    <row r="105">
      <c r="A105" s="35" t="n">
        <v>100</v>
      </c>
      <c r="B105" s="36" t="inlineStr">
        <is>
          <t>JPMorgan Chase (London Whale)</t>
        </is>
      </c>
      <c r="C105" s="36" t="inlineStr">
        <is>
          <t>United States</t>
        </is>
      </c>
      <c r="D105" s="35" t="n">
        <v>2012</v>
      </c>
      <c r="E105" s="36" t="inlineStr">
        <is>
          <t>Poorly Supervised Proprietary Trading</t>
        </is>
      </c>
      <c r="F105" s="36" t="inlineStr">
        <is>
          <t>Market Risk</t>
        </is>
      </c>
      <c r="G105" s="36" t="inlineStr">
        <is>
          <t>Operations</t>
        </is>
      </c>
      <c r="H105" s="36" t="inlineStr">
        <is>
          <t>$6.2 billion</t>
        </is>
      </c>
      <c r="I105" s="37" t="n">
        <v>6200</v>
      </c>
    </row>
    <row r="106">
      <c r="A106" s="23" t="n">
        <v>101</v>
      </c>
      <c r="B106" s="16" t="inlineStr">
        <is>
          <t>Kaupthing (Iceland)</t>
        </is>
      </c>
      <c r="C106" s="16" t="inlineStr">
        <is>
          <t>Iceland</t>
        </is>
      </c>
      <c r="D106" s="23" t="n">
        <v>2008</v>
      </c>
      <c r="E106" s="16" t="inlineStr">
        <is>
          <t>Overexposure to Wholesale Funding Market</t>
        </is>
      </c>
      <c r="F106" s="16" t="inlineStr">
        <is>
          <t>Credit Risk</t>
        </is>
      </c>
      <c r="G106" s="16" t="inlineStr">
        <is>
          <t>Strategic</t>
        </is>
      </c>
      <c r="H106" s="16" t="inlineStr">
        <is>
          <t>€5.5 billion</t>
        </is>
      </c>
      <c r="I106" s="34" t="n">
        <v>6500</v>
      </c>
    </row>
    <row r="107">
      <c r="A107" s="35" t="n">
        <v>102</v>
      </c>
      <c r="B107" s="36" t="inlineStr">
        <is>
          <t>Kaupthing Bank (Iceland)</t>
        </is>
      </c>
      <c r="C107" s="36" t="inlineStr">
        <is>
          <t>Iceland</t>
        </is>
      </c>
      <c r="D107" s="35" t="n">
        <v>2008</v>
      </c>
      <c r="E107" s="36" t="inlineStr">
        <is>
          <t>Overexpansion and Insufficient Capital</t>
        </is>
      </c>
      <c r="F107" s="36" t="inlineStr">
        <is>
          <t>Strategic Risk</t>
        </is>
      </c>
      <c r="G107" s="36" t="inlineStr">
        <is>
          <t>Strategic</t>
        </is>
      </c>
      <c r="H107" s="36" t="inlineStr">
        <is>
          <t>$50 billion</t>
        </is>
      </c>
      <c r="I107" s="37" t="n">
        <v>50000</v>
      </c>
    </row>
    <row r="108">
      <c r="A108" s="23" t="n">
        <v>103</v>
      </c>
      <c r="B108" s="16" t="inlineStr">
        <is>
          <t>Knight Capital (US)</t>
        </is>
      </c>
      <c r="C108" s="16" t="inlineStr">
        <is>
          <t>United States</t>
        </is>
      </c>
      <c r="D108" s="23" t="n">
        <v>2012</v>
      </c>
      <c r="E108" s="16" t="inlineStr">
        <is>
          <t>Software Glitch in Trading Algorithm</t>
        </is>
      </c>
      <c r="F108" s="16" t="inlineStr">
        <is>
          <t>Market Risk</t>
        </is>
      </c>
      <c r="G108" s="16" t="inlineStr">
        <is>
          <t>Operations</t>
        </is>
      </c>
      <c r="H108" s="16" t="inlineStr">
        <is>
          <t>$460 million</t>
        </is>
      </c>
      <c r="I108" s="34" t="n">
        <v>460</v>
      </c>
    </row>
    <row r="109">
      <c r="A109" s="35" t="n">
        <v>104</v>
      </c>
      <c r="B109" s="36" t="inlineStr">
        <is>
          <t>Kreditanstalt (Austria)</t>
        </is>
      </c>
      <c r="C109" s="36" t="inlineStr">
        <is>
          <t>Austria</t>
        </is>
      </c>
      <c r="D109" s="35" t="n">
        <v>1931</v>
      </c>
      <c r="E109" s="36" t="inlineStr">
        <is>
          <t>Overexposure to Post-War German and Central European Debt</t>
        </is>
      </c>
      <c r="F109" s="36" t="inlineStr">
        <is>
          <t>Credit Risk</t>
        </is>
      </c>
      <c r="G109" s="36" t="inlineStr">
        <is>
          <t>Strategic</t>
        </is>
      </c>
      <c r="H109" s="36" t="inlineStr">
        <is>
          <t>$7.6 billion</t>
        </is>
      </c>
      <c r="I109" s="37" t="n">
        <v>7600</v>
      </c>
    </row>
    <row r="110">
      <c r="A110" s="23" t="n">
        <v>105</v>
      </c>
      <c r="B110" s="16" t="inlineStr">
        <is>
          <t>Laiki Bank (Cyprus)</t>
        </is>
      </c>
      <c r="C110" s="16" t="inlineStr">
        <is>
          <t>Cyprus</t>
        </is>
      </c>
      <c r="D110" s="23" t="n">
        <v>2013</v>
      </c>
      <c r="E110" s="16" t="inlineStr">
        <is>
          <t>Insolvency due to overexposure to Greek debt</t>
        </is>
      </c>
      <c r="F110" s="16" t="inlineStr">
        <is>
          <t>Credit Risk</t>
        </is>
      </c>
      <c r="G110" s="16" t="inlineStr">
        <is>
          <t>Strategic</t>
        </is>
      </c>
      <c r="H110" s="16" t="inlineStr">
        <is>
          <t>€4.5 billion</t>
        </is>
      </c>
      <c r="I110" s="34" t="n">
        <v>5300</v>
      </c>
    </row>
    <row r="111">
      <c r="A111" s="35" t="n">
        <v>106</v>
      </c>
      <c r="B111" s="36" t="inlineStr">
        <is>
          <t>Landesbank Sachsen (Germany)</t>
        </is>
      </c>
      <c r="C111" s="36" t="inlineStr">
        <is>
          <t>Germany</t>
        </is>
      </c>
      <c r="D111" s="35" t="n">
        <v>2007</v>
      </c>
      <c r="E111" s="36" t="inlineStr">
        <is>
          <t>Overexposure to Structured Investment Vehicles leading to insolvency</t>
        </is>
      </c>
      <c r="F111" s="36" t="inlineStr">
        <is>
          <t>Credit Risk</t>
        </is>
      </c>
      <c r="G111" s="36" t="inlineStr">
        <is>
          <t>Strategic</t>
        </is>
      </c>
      <c r="H111" s="36" t="inlineStr">
        <is>
          <t>€17 billion</t>
        </is>
      </c>
      <c r="I111" s="37" t="n">
        <v>20100</v>
      </c>
    </row>
    <row r="112">
      <c r="A112" s="23" t="n">
        <v>107</v>
      </c>
      <c r="B112" s="16" t="inlineStr">
        <is>
          <t>Landsbanki (Iceland)</t>
        </is>
      </c>
      <c r="C112" s="16" t="inlineStr">
        <is>
          <t>Iceland</t>
        </is>
      </c>
      <c r="D112" s="23" t="n">
        <v>2008</v>
      </c>
      <c r="E112" s="16" t="inlineStr">
        <is>
          <t>Overexposure to Wholesale Funding Market</t>
        </is>
      </c>
      <c r="F112" s="16" t="inlineStr">
        <is>
          <t>Credit Risk</t>
        </is>
      </c>
      <c r="G112" s="16" t="inlineStr">
        <is>
          <t>Strategic</t>
        </is>
      </c>
      <c r="H112" s="16" t="inlineStr">
        <is>
          <t>€2.2 billion</t>
        </is>
      </c>
      <c r="I112" s="34" t="n">
        <v>2600</v>
      </c>
    </row>
    <row r="113">
      <c r="A113" s="35" t="n">
        <v>108</v>
      </c>
      <c r="B113" s="36" t="inlineStr">
        <is>
          <t>Lehman Brothers</t>
        </is>
      </c>
      <c r="C113" s="36" t="inlineStr">
        <is>
          <t>United States</t>
        </is>
      </c>
      <c r="D113" s="35" t="n">
        <v>2008</v>
      </c>
      <c r="E113" s="36" t="inlineStr">
        <is>
          <t>Overexposure to Subprime Mortgages</t>
        </is>
      </c>
      <c r="F113" s="36" t="inlineStr">
        <is>
          <t>Credit Risk</t>
        </is>
      </c>
      <c r="G113" s="36" t="inlineStr">
        <is>
          <t>Strategic</t>
        </is>
      </c>
      <c r="H113" s="36" t="inlineStr">
        <is>
          <t>$30 billion</t>
        </is>
      </c>
      <c r="I113" s="37" t="n">
        <v>30000</v>
      </c>
    </row>
    <row r="114">
      <c r="A114" s="23" t="n">
        <v>109</v>
      </c>
      <c r="B114" s="16" t="inlineStr">
        <is>
          <t>Lincoln Savings and Loan</t>
        </is>
      </c>
      <c r="C114" s="16" t="inlineStr">
        <is>
          <t>United States</t>
        </is>
      </c>
      <c r="D114" s="23" t="n">
        <v>1989</v>
      </c>
      <c r="E114" s="16" t="inlineStr">
        <is>
          <t>Fraudulent Business Practices and Regulatory Capture</t>
        </is>
      </c>
      <c r="F114" s="16" t="inlineStr">
        <is>
          <t>Operational Risk</t>
        </is>
      </c>
      <c r="G114" s="16" t="inlineStr">
        <is>
          <t>Compliance</t>
        </is>
      </c>
      <c r="H114" s="16" t="inlineStr">
        <is>
          <t>$3.4 billion</t>
        </is>
      </c>
      <c r="I114" s="34" t="n">
        <v>3400</v>
      </c>
    </row>
    <row r="115">
      <c r="A115" s="35" t="n">
        <v>110</v>
      </c>
      <c r="B115" s="36" t="inlineStr">
        <is>
          <t>Lloyd's of London (UK)</t>
        </is>
      </c>
      <c r="C115" s="36" t="inlineStr">
        <is>
          <t>United Kingdom</t>
        </is>
      </c>
      <c r="D115" s="35" t="n">
        <v>2001</v>
      </c>
      <c r="E115" s="36" t="inlineStr">
        <is>
          <t>World Trade Center Insurance Dispute</t>
        </is>
      </c>
      <c r="F115" s="36" t="inlineStr">
        <is>
          <t>Strategic Risk</t>
        </is>
      </c>
      <c r="G115" s="36" t="inlineStr">
        <is>
          <t>Strategic</t>
        </is>
      </c>
      <c r="H115" s="36" t="inlineStr">
        <is>
          <t>$5.6 billion</t>
        </is>
      </c>
      <c r="I115" s="37" t="n">
        <v>5600</v>
      </c>
    </row>
    <row r="116">
      <c r="A116" s="23" t="n">
        <v>111</v>
      </c>
      <c r="B116" s="16" t="inlineStr">
        <is>
          <t>Lloyds Banking Group (UK)</t>
        </is>
      </c>
      <c r="C116" s="16" t="inlineStr">
        <is>
          <t>United Kingdom</t>
        </is>
      </c>
      <c r="D116" s="23" t="n">
        <v>2013</v>
      </c>
      <c r="E116" s="16" t="inlineStr">
        <is>
          <t>Payment Protection Insurance (PPI) Mis-selling</t>
        </is>
      </c>
      <c r="F116" s="16" t="inlineStr">
        <is>
          <t>Conduct Risk</t>
        </is>
      </c>
      <c r="G116" s="16" t="inlineStr">
        <is>
          <t>Compliance</t>
        </is>
      </c>
      <c r="H116" s="16" t="inlineStr">
        <is>
          <t>£22 billion</t>
        </is>
      </c>
      <c r="I116" s="34" t="n">
        <v>29700</v>
      </c>
    </row>
    <row r="117">
      <c r="A117" s="35" t="n">
        <v>112</v>
      </c>
      <c r="B117" s="36" t="inlineStr">
        <is>
          <t>Long-Term Capital Management</t>
        </is>
      </c>
      <c r="C117" s="36" t="inlineStr">
        <is>
          <t>United States</t>
        </is>
      </c>
      <c r="D117" s="35" t="n">
        <v>1998</v>
      </c>
      <c r="E117" s="36" t="inlineStr">
        <is>
          <t>High Leverage and Market Risk</t>
        </is>
      </c>
      <c r="F117" s="36" t="inlineStr">
        <is>
          <t>Market Risk</t>
        </is>
      </c>
      <c r="G117" s="36" t="inlineStr">
        <is>
          <t>Strategic</t>
        </is>
      </c>
      <c r="H117" s="36" t="inlineStr">
        <is>
          <t>$4.6 billion</t>
        </is>
      </c>
      <c r="I117" s="37" t="n">
        <v>4600</v>
      </c>
    </row>
    <row r="118">
      <c r="A118" s="23" t="n">
        <v>113</v>
      </c>
      <c r="B118" s="16" t="inlineStr">
        <is>
          <t>Luckin Coffee (China)</t>
        </is>
      </c>
      <c r="C118" s="16" t="inlineStr">
        <is>
          <t>China</t>
        </is>
      </c>
      <c r="D118" s="23" t="n">
        <v>2020</v>
      </c>
      <c r="E118" s="16" t="inlineStr">
        <is>
          <t>Accounting Fraud</t>
        </is>
      </c>
      <c r="F118" s="16" t="inlineStr">
        <is>
          <t>Operational Risk</t>
        </is>
      </c>
      <c r="G118" s="16" t="inlineStr">
        <is>
          <t>Reporting</t>
        </is>
      </c>
      <c r="H118" s="16" t="inlineStr">
        <is>
          <t>$310 million</t>
        </is>
      </c>
      <c r="I118" s="34" t="n">
        <v>310</v>
      </c>
    </row>
    <row r="119">
      <c r="A119" s="35" t="n">
        <v>114</v>
      </c>
      <c r="B119" s="36" t="inlineStr">
        <is>
          <t>Maybank (Malaysia)</t>
        </is>
      </c>
      <c r="C119" s="36" t="inlineStr">
        <is>
          <t>Malaysia</t>
        </is>
      </c>
      <c r="D119" s="35" t="n">
        <v>2015</v>
      </c>
      <c r="E119" s="36" t="inlineStr">
        <is>
          <t>Overexposure to Oil and Gas Sector</t>
        </is>
      </c>
      <c r="F119" s="36" t="inlineStr">
        <is>
          <t>Credit Risk</t>
        </is>
      </c>
      <c r="G119" s="36" t="inlineStr">
        <is>
          <t>Strategic</t>
        </is>
      </c>
      <c r="H119" s="36" t="inlineStr">
        <is>
          <t>MYR 1.74 billion</t>
        </is>
      </c>
      <c r="I119" s="37" t="n">
        <v>418</v>
      </c>
    </row>
    <row r="120">
      <c r="A120" s="23" t="n">
        <v>115</v>
      </c>
      <c r="B120" s="16" t="inlineStr">
        <is>
          <t>Merrill Lynch</t>
        </is>
      </c>
      <c r="C120" s="16" t="inlineStr">
        <is>
          <t>United States</t>
        </is>
      </c>
      <c r="D120" s="23" t="n">
        <v>2008</v>
      </c>
      <c r="E120" s="16" t="inlineStr">
        <is>
          <t>Overexposure to Subprime Mortgages</t>
        </is>
      </c>
      <c r="F120" s="16" t="inlineStr">
        <is>
          <t>Credit Risk</t>
        </is>
      </c>
      <c r="G120" s="16" t="inlineStr">
        <is>
          <t>Strategic</t>
        </is>
      </c>
      <c r="H120" s="16" t="inlineStr">
        <is>
          <t>$51.8 billion</t>
        </is>
      </c>
      <c r="I120" s="34" t="n">
        <v>51800</v>
      </c>
    </row>
    <row r="121">
      <c r="A121" s="35" t="n">
        <v>116</v>
      </c>
      <c r="B121" s="36" t="inlineStr">
        <is>
          <t>Metropolitan Life Insurance Company</t>
        </is>
      </c>
      <c r="C121" s="36" t="inlineStr">
        <is>
          <t>United States</t>
        </is>
      </c>
      <c r="D121" s="35" t="n">
        <v>1999</v>
      </c>
      <c r="E121" s="36" t="inlineStr">
        <is>
          <t>Misrepresentation of Insurance Products</t>
        </is>
      </c>
      <c r="F121" s="36" t="inlineStr">
        <is>
          <t>Operational Risk</t>
        </is>
      </c>
      <c r="G121" s="36" t="inlineStr">
        <is>
          <t>Compliance</t>
        </is>
      </c>
      <c r="H121" s="36" t="inlineStr">
        <is>
          <t>$1.6 billion</t>
        </is>
      </c>
      <c r="I121" s="37" t="n">
        <v>1600</v>
      </c>
    </row>
    <row r="122">
      <c r="A122" s="23" t="n">
        <v>117</v>
      </c>
      <c r="B122" s="16" t="inlineStr">
        <is>
          <t>MF Global</t>
        </is>
      </c>
      <c r="C122" s="16" t="inlineStr">
        <is>
          <t>United States</t>
        </is>
      </c>
      <c r="D122" s="23" t="n">
        <v>2011</v>
      </c>
      <c r="E122" s="16" t="inlineStr">
        <is>
          <t>Mismanagement of Funds</t>
        </is>
      </c>
      <c r="F122" s="16" t="inlineStr">
        <is>
          <t>Operational Risk</t>
        </is>
      </c>
      <c r="G122" s="16" t="inlineStr">
        <is>
          <t>Operations</t>
        </is>
      </c>
      <c r="H122" s="16" t="inlineStr">
        <is>
          <t>$40 billion</t>
        </is>
      </c>
      <c r="I122" s="34" t="n">
        <v>40000</v>
      </c>
    </row>
    <row r="123">
      <c r="A123" s="35" t="n">
        <v>118</v>
      </c>
      <c r="B123" s="36" t="inlineStr">
        <is>
          <t>MF Global</t>
        </is>
      </c>
      <c r="C123" s="36" t="inlineStr">
        <is>
          <t>United States</t>
        </is>
      </c>
      <c r="D123" s="35" t="n">
        <v>2011</v>
      </c>
      <c r="E123" s="36" t="inlineStr">
        <is>
          <t>Overexposure to European Sovereign Debt</t>
        </is>
      </c>
      <c r="F123" s="36" t="inlineStr">
        <is>
          <t>Credit Risk</t>
        </is>
      </c>
      <c r="G123" s="36" t="inlineStr">
        <is>
          <t>Strategic</t>
        </is>
      </c>
      <c r="H123" s="36" t="inlineStr">
        <is>
          <t>$1.6 billion</t>
        </is>
      </c>
      <c r="I123" s="37" t="n">
        <v>1600</v>
      </c>
    </row>
    <row r="124">
      <c r="A124" s="23" t="n">
        <v>119</v>
      </c>
      <c r="B124" s="16" t="inlineStr">
        <is>
          <t>Monte dei Paschi (Italy)</t>
        </is>
      </c>
      <c r="C124" s="16" t="inlineStr">
        <is>
          <t>Italy</t>
        </is>
      </c>
      <c r="D124" s="23" t="n">
        <v>2013</v>
      </c>
      <c r="E124" s="16" t="inlineStr">
        <is>
          <t>Derivative and Accounting Scandal</t>
        </is>
      </c>
      <c r="F124" s="16" t="inlineStr">
        <is>
          <t>Conduct Risk</t>
        </is>
      </c>
      <c r="G124" s="16" t="inlineStr">
        <is>
          <t>Reporting</t>
        </is>
      </c>
      <c r="H124" s="16" t="inlineStr">
        <is>
          <t>€3.9 billion</t>
        </is>
      </c>
      <c r="I124" s="34" t="n">
        <v>4600</v>
      </c>
    </row>
    <row r="125">
      <c r="A125" s="35" t="n">
        <v>120</v>
      </c>
      <c r="B125" s="36" t="inlineStr">
        <is>
          <t>NAB (Australia)</t>
        </is>
      </c>
      <c r="C125" s="36" t="inlineStr">
        <is>
          <t>Australia</t>
        </is>
      </c>
      <c r="D125" s="35" t="n">
        <v>2020</v>
      </c>
      <c r="E125" s="36" t="inlineStr">
        <is>
          <t>Money Laundering</t>
        </is>
      </c>
      <c r="F125" s="36" t="inlineStr">
        <is>
          <t>Operational Risk</t>
        </is>
      </c>
      <c r="G125" s="36" t="inlineStr">
        <is>
          <t>Compliance</t>
        </is>
      </c>
      <c r="H125" s="36" t="inlineStr">
        <is>
          <t>AUD 15 million</t>
        </is>
      </c>
      <c r="I125" s="37" t="n">
        <v>10.8</v>
      </c>
    </row>
    <row r="126">
      <c r="A126" s="23" t="n">
        <v>121</v>
      </c>
      <c r="B126" s="16" t="inlineStr">
        <is>
          <t>National Century Financial Enterprises (US)</t>
        </is>
      </c>
      <c r="C126" s="16" t="inlineStr">
        <is>
          <t>United States</t>
        </is>
      </c>
      <c r="D126" s="23" t="n">
        <v>2002</v>
      </c>
      <c r="E126" s="16" t="inlineStr">
        <is>
          <t>Corporate Fraud</t>
        </is>
      </c>
      <c r="F126" s="16" t="inlineStr">
        <is>
          <t>Operational Risk</t>
        </is>
      </c>
      <c r="G126" s="16" t="inlineStr">
        <is>
          <t>Operations</t>
        </is>
      </c>
      <c r="H126" s="16" t="inlineStr">
        <is>
          <t>$2.6 billion</t>
        </is>
      </c>
      <c r="I126" s="34" t="n">
        <v>2600</v>
      </c>
    </row>
    <row r="127">
      <c r="A127" s="35" t="n">
        <v>122</v>
      </c>
      <c r="B127" s="36" t="inlineStr">
        <is>
          <t>New Century Financial Corporation</t>
        </is>
      </c>
      <c r="C127" s="36" t="inlineStr">
        <is>
          <t>United States</t>
        </is>
      </c>
      <c r="D127" s="35" t="n">
        <v>2007</v>
      </c>
      <c r="E127" s="36" t="inlineStr">
        <is>
          <t>Overexposure to Subprime Mortgages</t>
        </is>
      </c>
      <c r="F127" s="36" t="inlineStr">
        <is>
          <t>Credit Risk</t>
        </is>
      </c>
      <c r="G127" s="36" t="inlineStr">
        <is>
          <t>Strategic</t>
        </is>
      </c>
      <c r="H127" s="36" t="inlineStr">
        <is>
          <t>$1.2 billion</t>
        </is>
      </c>
      <c r="I127" s="37" t="n">
        <v>1200</v>
      </c>
    </row>
    <row r="128">
      <c r="A128" s="23" t="n">
        <v>123</v>
      </c>
      <c r="B128" s="16" t="inlineStr">
        <is>
          <t>NMC Health (UAE)</t>
        </is>
      </c>
      <c r="C128" s="16" t="inlineStr">
        <is>
          <t>United Arab Emirates</t>
        </is>
      </c>
      <c r="D128" s="23" t="n">
        <v>2019</v>
      </c>
      <c r="E128" s="16" t="inlineStr">
        <is>
          <t>Accounting Fraud and Debt Concealment</t>
        </is>
      </c>
      <c r="F128" s="16" t="inlineStr">
        <is>
          <t>Operational Risk</t>
        </is>
      </c>
      <c r="G128" s="16" t="inlineStr">
        <is>
          <t>Reporting</t>
        </is>
      </c>
      <c r="H128" s="16" t="inlineStr">
        <is>
          <t>$4 billion</t>
        </is>
      </c>
      <c r="I128" s="34" t="n">
        <v>4000</v>
      </c>
    </row>
    <row r="129">
      <c r="A129" s="35" t="n">
        <v>124</v>
      </c>
      <c r="B129" s="36" t="inlineStr">
        <is>
          <t>Nordea Bank (Sweden)</t>
        </is>
      </c>
      <c r="C129" s="36" t="inlineStr">
        <is>
          <t>Sweden</t>
        </is>
      </c>
      <c r="D129" s="35" t="n">
        <v>2019</v>
      </c>
      <c r="E129" s="36" t="inlineStr">
        <is>
          <t>Money Laundering</t>
        </is>
      </c>
      <c r="F129" s="36" t="inlineStr">
        <is>
          <t>Operational Risk</t>
        </is>
      </c>
      <c r="G129" s="36" t="inlineStr">
        <is>
          <t>Compliance</t>
        </is>
      </c>
      <c r="H129" s="36" t="inlineStr">
        <is>
          <t>SEK 4 billion</t>
        </is>
      </c>
      <c r="I129" s="37" t="n">
        <v>440</v>
      </c>
    </row>
    <row r="130">
      <c r="A130" s="23" t="n">
        <v>125</v>
      </c>
      <c r="B130" s="16" t="inlineStr">
        <is>
          <t>Northern Rock (UK)</t>
        </is>
      </c>
      <c r="C130" s="16" t="inlineStr">
        <is>
          <t>United Kingdom</t>
        </is>
      </c>
      <c r="D130" s="23" t="n">
        <v>2007</v>
      </c>
      <c r="E130" s="16" t="inlineStr">
        <is>
          <t>Overexposure to Mortgage Market leading to insolvency</t>
        </is>
      </c>
      <c r="F130" s="16" t="inlineStr">
        <is>
          <t>Credit Risk</t>
        </is>
      </c>
      <c r="G130" s="16" t="inlineStr">
        <is>
          <t>Strategic</t>
        </is>
      </c>
      <c r="H130" s="16" t="inlineStr">
        <is>
          <t>£26 billion</t>
        </is>
      </c>
      <c r="I130" s="34" t="n">
        <v>35100</v>
      </c>
    </row>
    <row r="131">
      <c r="A131" s="35" t="n">
        <v>126</v>
      </c>
      <c r="B131" s="36" t="inlineStr">
        <is>
          <t>Olympus Corporation (Japan)</t>
        </is>
      </c>
      <c r="C131" s="36" t="inlineStr">
        <is>
          <t>Japan</t>
        </is>
      </c>
      <c r="D131" s="35" t="n">
        <v>2011</v>
      </c>
      <c r="E131" s="36" t="inlineStr">
        <is>
          <t>Accounting Fraud</t>
        </is>
      </c>
      <c r="F131" s="36" t="inlineStr">
        <is>
          <t>Operational Risk</t>
        </is>
      </c>
      <c r="G131" s="36" t="inlineStr">
        <is>
          <t>Reporting</t>
        </is>
      </c>
      <c r="H131" s="36" t="inlineStr">
        <is>
          <t>$1.7 billion</t>
        </is>
      </c>
      <c r="I131" s="37" t="n">
        <v>1700</v>
      </c>
    </row>
    <row r="132">
      <c r="A132" s="23" t="n">
        <v>127</v>
      </c>
      <c r="B132" s="16" t="inlineStr">
        <is>
          <t>Parmalat (Italy)</t>
        </is>
      </c>
      <c r="C132" s="16" t="inlineStr">
        <is>
          <t>Italy</t>
        </is>
      </c>
      <c r="D132" s="23" t="n">
        <v>2003</v>
      </c>
      <c r="E132" s="16" t="inlineStr">
        <is>
          <t>Accounting Fraud</t>
        </is>
      </c>
      <c r="F132" s="16" t="inlineStr">
        <is>
          <t>Operational Risk</t>
        </is>
      </c>
      <c r="G132" s="16" t="inlineStr">
        <is>
          <t>Reporting</t>
        </is>
      </c>
      <c r="H132" s="16" t="inlineStr">
        <is>
          <t>$20 billion</t>
        </is>
      </c>
      <c r="I132" s="34" t="n">
        <v>20000</v>
      </c>
    </row>
    <row r="133">
      <c r="A133" s="35" t="n">
        <v>128</v>
      </c>
      <c r="B133" s="36" t="inlineStr">
        <is>
          <t>Patisserie Valerie (UK)</t>
        </is>
      </c>
      <c r="C133" s="36" t="inlineStr">
        <is>
          <t>United Kingdom</t>
        </is>
      </c>
      <c r="D133" s="35" t="n">
        <v>2018</v>
      </c>
      <c r="E133" s="36" t="inlineStr">
        <is>
          <t>Accounting Fraud</t>
        </is>
      </c>
      <c r="F133" s="36" t="inlineStr">
        <is>
          <t>Operational Risk</t>
        </is>
      </c>
      <c r="G133" s="36" t="inlineStr">
        <is>
          <t>Reporting</t>
        </is>
      </c>
      <c r="H133" s="36" t="inlineStr">
        <is>
          <t>£94 million</t>
        </is>
      </c>
      <c r="I133" s="37" t="n">
        <v>127</v>
      </c>
    </row>
    <row r="134">
      <c r="A134" s="23" t="n">
        <v>129</v>
      </c>
      <c r="B134" s="16" t="inlineStr">
        <is>
          <t>PennyMac (US)</t>
        </is>
      </c>
      <c r="C134" s="16" t="inlineStr">
        <is>
          <t>United States</t>
        </is>
      </c>
      <c r="D134" s="23" t="n">
        <v>2008</v>
      </c>
      <c r="E134" s="16" t="inlineStr">
        <is>
          <t>Subprime Mortgage Lending</t>
        </is>
      </c>
      <c r="F134" s="16" t="inlineStr">
        <is>
          <t>Credit Risk</t>
        </is>
      </c>
      <c r="G134" s="16" t="inlineStr">
        <is>
          <t>Strategic</t>
        </is>
      </c>
      <c r="H134" s="16" t="inlineStr">
        <is>
          <t>$12.2 billion</t>
        </is>
      </c>
      <c r="I134" s="34" t="n">
        <v>12200</v>
      </c>
    </row>
    <row r="135">
      <c r="A135" s="35" t="n">
        <v>130</v>
      </c>
      <c r="B135" s="36" t="inlineStr">
        <is>
          <t>Petrobras (Brazil)</t>
        </is>
      </c>
      <c r="C135" s="36" t="inlineStr">
        <is>
          <t>Brazil</t>
        </is>
      </c>
      <c r="D135" s="35" t="n">
        <v>2014</v>
      </c>
      <c r="E135" s="36" t="inlineStr">
        <is>
          <t>Operation Car Wash (Corruption Scandal)</t>
        </is>
      </c>
      <c r="F135" s="36" t="inlineStr">
        <is>
          <t>Operational Risk</t>
        </is>
      </c>
      <c r="G135" s="36" t="inlineStr">
        <is>
          <t>Compliance</t>
        </is>
      </c>
      <c r="H135" s="36" t="inlineStr">
        <is>
          <t>$2.1 billion</t>
        </is>
      </c>
      <c r="I135" s="37" t="n">
        <v>2100</v>
      </c>
    </row>
    <row r="136">
      <c r="A136" s="23" t="n">
        <v>131</v>
      </c>
      <c r="B136" s="16" t="inlineStr">
        <is>
          <t>Pilatus Bank (Malta)</t>
        </is>
      </c>
      <c r="C136" s="16" t="inlineStr">
        <is>
          <t>Malta</t>
        </is>
      </c>
      <c r="D136" s="23" t="n">
        <v>2018</v>
      </c>
      <c r="E136" s="16" t="inlineStr">
        <is>
          <t>Money Laundering and Fraud</t>
        </is>
      </c>
      <c r="F136" s="16" t="inlineStr">
        <is>
          <t>Operational Risk</t>
        </is>
      </c>
      <c r="G136" s="16" t="inlineStr">
        <is>
          <t>Compliance</t>
        </is>
      </c>
      <c r="H136" s="16" t="inlineStr">
        <is>
          <t>€500 million</t>
        </is>
      </c>
      <c r="I136" s="34" t="n">
        <v>590</v>
      </c>
    </row>
    <row r="137">
      <c r="A137" s="35" t="n">
        <v>132</v>
      </c>
      <c r="B137" s="36" t="inlineStr">
        <is>
          <t>Postbank (Ireland)</t>
        </is>
      </c>
      <c r="C137" s="36" t="inlineStr">
        <is>
          <t>Ireland</t>
        </is>
      </c>
      <c r="D137" s="35" t="n">
        <v>2010</v>
      </c>
      <c r="E137" s="36" t="inlineStr">
        <is>
          <t>Liquidity Crisis leading to insolvency</t>
        </is>
      </c>
      <c r="F137" s="36" t="inlineStr">
        <is>
          <t>Liquidity Risk</t>
        </is>
      </c>
      <c r="G137" s="36" t="inlineStr">
        <is>
          <t>Strategic</t>
        </is>
      </c>
      <c r="H137" s="36" t="inlineStr">
        <is>
          <t>€500 million</t>
        </is>
      </c>
      <c r="I137" s="37" t="n">
        <v>590</v>
      </c>
    </row>
    <row r="138">
      <c r="A138" s="23" t="n">
        <v>133</v>
      </c>
      <c r="B138" s="16" t="inlineStr">
        <is>
          <t>PrivatBank (Ukraine)</t>
        </is>
      </c>
      <c r="C138" s="16" t="inlineStr">
        <is>
          <t>Ukraine</t>
        </is>
      </c>
      <c r="D138" s="23" t="n">
        <v>2016</v>
      </c>
      <c r="E138" s="16" t="inlineStr">
        <is>
          <t>Large-scale Money-laundering</t>
        </is>
      </c>
      <c r="F138" s="16" t="inlineStr">
        <is>
          <t>Operational Risk</t>
        </is>
      </c>
      <c r="G138" s="16" t="inlineStr">
        <is>
          <t>Compliance</t>
        </is>
      </c>
      <c r="H138" s="16" t="inlineStr">
        <is>
          <t>$5.5 billion</t>
        </is>
      </c>
      <c r="I138" s="34" t="n">
        <v>5500</v>
      </c>
    </row>
    <row r="139">
      <c r="A139" s="35" t="n">
        <v>134</v>
      </c>
      <c r="B139" s="36" t="inlineStr">
        <is>
          <t>Punjab National Bank (India)</t>
        </is>
      </c>
      <c r="C139" s="36" t="inlineStr">
        <is>
          <t>India</t>
        </is>
      </c>
      <c r="D139" s="35" t="n">
        <v>2018</v>
      </c>
      <c r="E139" s="36" t="inlineStr">
        <is>
          <t>Fraudulent Letter of Undertaking Issuance</t>
        </is>
      </c>
      <c r="F139" s="36" t="inlineStr">
        <is>
          <t>Operational Risk</t>
        </is>
      </c>
      <c r="G139" s="36" t="inlineStr">
        <is>
          <t>Operations</t>
        </is>
      </c>
      <c r="H139" s="36" t="inlineStr">
        <is>
          <t>$2 billion</t>
        </is>
      </c>
      <c r="I139" s="37" t="n">
        <v>2000</v>
      </c>
    </row>
    <row r="140">
      <c r="A140" s="23" t="n">
        <v>135</v>
      </c>
      <c r="B140" s="16" t="inlineStr">
        <is>
          <t>Punjab National Bank (India)</t>
        </is>
      </c>
      <c r="C140" s="16" t="inlineStr">
        <is>
          <t>India</t>
        </is>
      </c>
      <c r="D140" s="23" t="n">
        <v>2018</v>
      </c>
      <c r="E140" s="16" t="inlineStr">
        <is>
          <t>Letter of Undertaking Fraud</t>
        </is>
      </c>
      <c r="F140" s="16" t="inlineStr">
        <is>
          <t>Operational Risk</t>
        </is>
      </c>
      <c r="G140" s="16" t="inlineStr">
        <is>
          <t>Operations</t>
        </is>
      </c>
      <c r="H140" s="16" t="inlineStr">
        <is>
          <t>$1.8 billion</t>
        </is>
      </c>
      <c r="I140" s="34" t="n">
        <v>1800</v>
      </c>
    </row>
    <row r="141">
      <c r="A141" s="35" t="n">
        <v>136</v>
      </c>
      <c r="B141" s="36" t="inlineStr">
        <is>
          <t>Rabobank (Netherlands)</t>
        </is>
      </c>
      <c r="C141" s="36" t="inlineStr">
        <is>
          <t>Netherlands</t>
        </is>
      </c>
      <c r="D141" s="35" t="n">
        <v>2013</v>
      </c>
      <c r="E141" s="36" t="inlineStr">
        <is>
          <t>Libor and Euribor Scandal</t>
        </is>
      </c>
      <c r="F141" s="36" t="inlineStr">
        <is>
          <t>Conduct Risk</t>
        </is>
      </c>
      <c r="G141" s="36" t="inlineStr">
        <is>
          <t>Compliance</t>
        </is>
      </c>
      <c r="H141" s="36" t="inlineStr">
        <is>
          <t>$1 billion</t>
        </is>
      </c>
      <c r="I141" s="37" t="n">
        <v>1000</v>
      </c>
    </row>
    <row r="142">
      <c r="A142" s="23" t="n">
        <v>137</v>
      </c>
      <c r="B142" s="16" t="inlineStr">
        <is>
          <t>Raiffeisen Bank (Austria)</t>
        </is>
      </c>
      <c r="C142" s="16" t="inlineStr">
        <is>
          <t>Austria</t>
        </is>
      </c>
      <c r="D142" s="23" t="n">
        <v>2019</v>
      </c>
      <c r="E142" s="16" t="inlineStr">
        <is>
          <t>Money Laundering and Corruption Allegations</t>
        </is>
      </c>
      <c r="F142" s="16" t="inlineStr">
        <is>
          <t>Operational Risk</t>
        </is>
      </c>
      <c r="G142" s="16" t="inlineStr">
        <is>
          <t>Compliance</t>
        </is>
      </c>
      <c r="H142" s="16" t="inlineStr">
        <is>
          <t>€5 million</t>
        </is>
      </c>
      <c r="I142" s="34" t="n">
        <v>5.9</v>
      </c>
    </row>
    <row r="143">
      <c r="A143" s="35" t="n">
        <v>138</v>
      </c>
      <c r="B143" s="36" t="inlineStr">
        <is>
          <t>Refco</t>
        </is>
      </c>
      <c r="C143" s="36" t="inlineStr">
        <is>
          <t>United States</t>
        </is>
      </c>
      <c r="D143" s="35" t="n">
        <v>2005</v>
      </c>
      <c r="E143" s="36" t="inlineStr">
        <is>
          <t>Debt Fraud</t>
        </is>
      </c>
      <c r="F143" s="36" t="inlineStr">
        <is>
          <t>Operational Risk</t>
        </is>
      </c>
      <c r="G143" s="36" t="inlineStr">
        <is>
          <t>Reporting</t>
        </is>
      </c>
      <c r="H143" s="36" t="inlineStr">
        <is>
          <t>$2.4 billion</t>
        </is>
      </c>
      <c r="I143" s="37" t="n">
        <v>2400</v>
      </c>
    </row>
    <row r="144">
      <c r="A144" s="23" t="n">
        <v>139</v>
      </c>
      <c r="B144" s="16" t="inlineStr">
        <is>
          <t>Roskilde Bank (Denmark)</t>
        </is>
      </c>
      <c r="C144" s="16" t="inlineStr">
        <is>
          <t>Denmark</t>
        </is>
      </c>
      <c r="D144" s="23" t="n">
        <v>2008</v>
      </c>
      <c r="E144" s="16" t="inlineStr">
        <is>
          <t>Overexposure to Real Estate Market</t>
        </is>
      </c>
      <c r="F144" s="16" t="inlineStr">
        <is>
          <t>Credit Risk</t>
        </is>
      </c>
      <c r="G144" s="16" t="inlineStr">
        <is>
          <t>Strategic</t>
        </is>
      </c>
      <c r="H144" s="16" t="inlineStr">
        <is>
          <t>€1 billion</t>
        </is>
      </c>
      <c r="I144" s="34" t="n">
        <v>1200</v>
      </c>
    </row>
    <row r="145">
      <c r="A145" s="35" t="n">
        <v>140</v>
      </c>
      <c r="B145" s="36" t="inlineStr">
        <is>
          <t>Royal Ahold (Netherlands)</t>
        </is>
      </c>
      <c r="C145" s="36" t="inlineStr">
        <is>
          <t>Netherlands</t>
        </is>
      </c>
      <c r="D145" s="35" t="n">
        <v>2003</v>
      </c>
      <c r="E145" s="36" t="inlineStr">
        <is>
          <t>Accounting Fraud</t>
        </is>
      </c>
      <c r="F145" s="36" t="inlineStr">
        <is>
          <t>Operational Risk</t>
        </is>
      </c>
      <c r="G145" s="36" t="inlineStr">
        <is>
          <t>Reporting</t>
        </is>
      </c>
      <c r="H145" s="36" t="inlineStr">
        <is>
          <t>$1 billion</t>
        </is>
      </c>
      <c r="I145" s="37" t="n">
        <v>1000</v>
      </c>
    </row>
    <row r="146">
      <c r="A146" s="23" t="n">
        <v>141</v>
      </c>
      <c r="B146" s="16" t="inlineStr">
        <is>
          <t>Royal Bank of Scotland (UK)</t>
        </is>
      </c>
      <c r="C146" s="16" t="inlineStr">
        <is>
          <t>United Kingdom</t>
        </is>
      </c>
      <c r="D146" s="23" t="n">
        <v>2008</v>
      </c>
      <c r="E146" s="16" t="inlineStr">
        <is>
          <t>Overexposure to Subprime Mortgages</t>
        </is>
      </c>
      <c r="F146" s="16" t="inlineStr">
        <is>
          <t>Credit Risk</t>
        </is>
      </c>
      <c r="G146" s="16" t="inlineStr">
        <is>
          <t>Strategic</t>
        </is>
      </c>
      <c r="H146" s="16" t="inlineStr">
        <is>
          <t>£24.1 billion</t>
        </is>
      </c>
      <c r="I146" s="34" t="n">
        <v>32500</v>
      </c>
    </row>
    <row r="147">
      <c r="A147" s="35" t="n">
        <v>142</v>
      </c>
      <c r="B147" s="36" t="inlineStr">
        <is>
          <t>Royal Bank of Scotland (UK)</t>
        </is>
      </c>
      <c r="C147" s="36" t="inlineStr">
        <is>
          <t>United Kingdom</t>
        </is>
      </c>
      <c r="D147" s="35" t="n">
        <v>2008</v>
      </c>
      <c r="E147" s="36" t="inlineStr">
        <is>
          <t>Overexposure to Subprime Mortgage Market leading to nationalization</t>
        </is>
      </c>
      <c r="F147" s="36" t="inlineStr">
        <is>
          <t>Credit Risk</t>
        </is>
      </c>
      <c r="G147" s="36" t="inlineStr">
        <is>
          <t>Strategic</t>
        </is>
      </c>
      <c r="H147" s="36" t="inlineStr">
        <is>
          <t>£45.5 billion</t>
        </is>
      </c>
      <c r="I147" s="37" t="n">
        <v>61400</v>
      </c>
    </row>
    <row r="148">
      <c r="A148" s="23" t="n">
        <v>143</v>
      </c>
      <c r="B148" s="16" t="inlineStr">
        <is>
          <t>Royal Bank of Scotland (UK)</t>
        </is>
      </c>
      <c r="C148" s="16" t="inlineStr">
        <is>
          <t>United Kingdom</t>
        </is>
      </c>
      <c r="D148" s="23" t="n">
        <v>2012</v>
      </c>
      <c r="E148" s="16" t="inlineStr">
        <is>
          <t>IT Systems Failure</t>
        </is>
      </c>
      <c r="F148" s="16" t="inlineStr">
        <is>
          <t>Operational Risk</t>
        </is>
      </c>
      <c r="G148" s="16" t="inlineStr">
        <is>
          <t>Operations</t>
        </is>
      </c>
      <c r="H148" s="16" t="inlineStr">
        <is>
          <t>£175 million</t>
        </is>
      </c>
      <c r="I148" s="34" t="n">
        <v>236</v>
      </c>
    </row>
    <row r="149">
      <c r="A149" s="35" t="n">
        <v>144</v>
      </c>
      <c r="B149" s="36" t="inlineStr">
        <is>
          <t>Satyam Computer Services (India)</t>
        </is>
      </c>
      <c r="C149" s="36" t="inlineStr">
        <is>
          <t>India</t>
        </is>
      </c>
      <c r="D149" s="35" t="n">
        <v>2009</v>
      </c>
      <c r="E149" s="36" t="inlineStr">
        <is>
          <t>Accounting Fraud</t>
        </is>
      </c>
      <c r="F149" s="36" t="inlineStr">
        <is>
          <t>Operational Risk</t>
        </is>
      </c>
      <c r="G149" s="36" t="inlineStr">
        <is>
          <t>Reporting</t>
        </is>
      </c>
      <c r="H149" s="36" t="inlineStr">
        <is>
          <t>$1.5 billion</t>
        </is>
      </c>
      <c r="I149" s="37" t="n">
        <v>1500</v>
      </c>
    </row>
    <row r="150">
      <c r="A150" s="23" t="n">
        <v>145</v>
      </c>
      <c r="B150" s="16" t="inlineStr">
        <is>
          <t>Sino-Forest Corporation (Canada)</t>
        </is>
      </c>
      <c r="C150" s="16" t="inlineStr">
        <is>
          <t>Canada</t>
        </is>
      </c>
      <c r="D150" s="23" t="n">
        <v>2011</v>
      </c>
      <c r="E150" s="16" t="inlineStr">
        <is>
          <t>Fraud and Misrepresentation</t>
        </is>
      </c>
      <c r="F150" s="16" t="inlineStr">
        <is>
          <t>Operational Risk</t>
        </is>
      </c>
      <c r="G150" s="16" t="inlineStr">
        <is>
          <t>Reporting</t>
        </is>
      </c>
      <c r="H150" s="16" t="inlineStr">
        <is>
          <t>$4 billion CAD</t>
        </is>
      </c>
      <c r="I150" s="34" t="n">
        <v>4000</v>
      </c>
    </row>
    <row r="151">
      <c r="A151" s="35" t="n">
        <v>146</v>
      </c>
      <c r="B151" s="36" t="inlineStr">
        <is>
          <t>Skye Bank (Nigeria)</t>
        </is>
      </c>
      <c r="C151" s="36" t="inlineStr">
        <is>
          <t>Nigeria</t>
        </is>
      </c>
      <c r="D151" s="35" t="n">
        <v>2018</v>
      </c>
      <c r="E151" s="36" t="inlineStr">
        <is>
          <t>Non-performing Loans and Capital Issues</t>
        </is>
      </c>
      <c r="F151" s="36" t="inlineStr">
        <is>
          <t>Credit Risk</t>
        </is>
      </c>
      <c r="G151" s="36" t="inlineStr">
        <is>
          <t>Operations</t>
        </is>
      </c>
      <c r="H151" s="36" t="inlineStr">
        <is>
          <t>$600 million</t>
        </is>
      </c>
      <c r="I151" s="37" t="n">
        <v>600</v>
      </c>
    </row>
    <row r="152">
      <c r="A152" s="23" t="n">
        <v>147</v>
      </c>
      <c r="B152" s="16" t="inlineStr">
        <is>
          <t>SNS Reaal (Netherlands)</t>
        </is>
      </c>
      <c r="C152" s="16" t="inlineStr">
        <is>
          <t>Netherlands</t>
        </is>
      </c>
      <c r="D152" s="23" t="n">
        <v>2013</v>
      </c>
      <c r="E152" s="16" t="inlineStr">
        <is>
          <t>Overexposure to Property Finance</t>
        </is>
      </c>
      <c r="F152" s="16" t="inlineStr">
        <is>
          <t>Credit Risk</t>
        </is>
      </c>
      <c r="G152" s="16" t="inlineStr">
        <is>
          <t>Strategic</t>
        </is>
      </c>
      <c r="H152" s="16" t="inlineStr">
        <is>
          <t>€2.2 billion</t>
        </is>
      </c>
      <c r="I152" s="34" t="n">
        <v>2600</v>
      </c>
    </row>
    <row r="153">
      <c r="A153" s="35" t="n">
        <v>148</v>
      </c>
      <c r="B153" s="36" t="inlineStr">
        <is>
          <t>Societe Generale (France)</t>
        </is>
      </c>
      <c r="C153" s="36" t="inlineStr">
        <is>
          <t>France</t>
        </is>
      </c>
      <c r="D153" s="35" t="n">
        <v>2008</v>
      </c>
      <c r="E153" s="36" t="inlineStr">
        <is>
          <t>Unauthorized Trading (Jerome Kerviel)</t>
        </is>
      </c>
      <c r="F153" s="36" t="inlineStr">
        <is>
          <t>Market Risk</t>
        </is>
      </c>
      <c r="G153" s="36" t="inlineStr">
        <is>
          <t>Operations</t>
        </is>
      </c>
      <c r="H153" s="36" t="inlineStr">
        <is>
          <t>€4.9 billion</t>
        </is>
      </c>
      <c r="I153" s="37" t="n">
        <v>5800</v>
      </c>
    </row>
    <row r="154">
      <c r="A154" s="23" t="n">
        <v>149</v>
      </c>
      <c r="B154" s="16" t="inlineStr">
        <is>
          <t>Societe Generale (France)</t>
        </is>
      </c>
      <c r="C154" s="16" t="inlineStr">
        <is>
          <t>France</t>
        </is>
      </c>
      <c r="D154" s="23" t="n">
        <v>2018</v>
      </c>
      <c r="E154" s="16" t="inlineStr">
        <is>
          <t>Libor and Euribor Scandal</t>
        </is>
      </c>
      <c r="F154" s="16" t="inlineStr">
        <is>
          <t>Conduct Risk</t>
        </is>
      </c>
      <c r="G154" s="16" t="inlineStr">
        <is>
          <t>Compliance</t>
        </is>
      </c>
      <c r="H154" s="16" t="inlineStr">
        <is>
          <t>$1.34 billion</t>
        </is>
      </c>
      <c r="I154" s="34" t="n">
        <v>1300</v>
      </c>
    </row>
    <row r="155">
      <c r="A155" s="35" t="n">
        <v>150</v>
      </c>
      <c r="B155" s="36" t="inlineStr">
        <is>
          <t>Standard Chartered (UK)</t>
        </is>
      </c>
      <c r="C155" s="36" t="inlineStr">
        <is>
          <t>United Kingdom</t>
        </is>
      </c>
      <c r="D155" s="35" t="n">
        <v>2012</v>
      </c>
      <c r="E155" s="36" t="inlineStr">
        <is>
          <t>Sanctions Breaching</t>
        </is>
      </c>
      <c r="F155" s="36" t="inlineStr">
        <is>
          <t>Operational Risk</t>
        </is>
      </c>
      <c r="G155" s="36" t="inlineStr">
        <is>
          <t>Compliance</t>
        </is>
      </c>
      <c r="H155" s="36" t="inlineStr">
        <is>
          <t>$667 million</t>
        </is>
      </c>
      <c r="I155" s="37" t="n">
        <v>667</v>
      </c>
    </row>
    <row r="156">
      <c r="A156" s="23" t="n">
        <v>151</v>
      </c>
      <c r="B156" s="16" t="inlineStr">
        <is>
          <t>Stanford Financial Group</t>
        </is>
      </c>
      <c r="C156" s="16" t="inlineStr">
        <is>
          <t>United States</t>
        </is>
      </c>
      <c r="D156" s="23" t="n">
        <v>2009</v>
      </c>
      <c r="E156" s="16" t="inlineStr">
        <is>
          <t>Ponzi Scheme</t>
        </is>
      </c>
      <c r="F156" s="16" t="inlineStr">
        <is>
          <t>Operational Risk</t>
        </is>
      </c>
      <c r="G156" s="16" t="inlineStr">
        <is>
          <t>Compliance</t>
        </is>
      </c>
      <c r="H156" s="16" t="inlineStr">
        <is>
          <t>$7 billion</t>
        </is>
      </c>
      <c r="I156" s="34" t="n">
        <v>7000</v>
      </c>
    </row>
    <row r="157">
      <c r="A157" s="35" t="n">
        <v>152</v>
      </c>
      <c r="B157" s="36" t="inlineStr">
        <is>
          <t>Steinhoff International (South Africa)</t>
        </is>
      </c>
      <c r="C157" s="36" t="inlineStr">
        <is>
          <t>South Africa</t>
        </is>
      </c>
      <c r="D157" s="35" t="n">
        <v>2017</v>
      </c>
      <c r="E157" s="36" t="inlineStr">
        <is>
          <t>Accounting Fraud</t>
        </is>
      </c>
      <c r="F157" s="36" t="inlineStr">
        <is>
          <t>Operational Risk</t>
        </is>
      </c>
      <c r="G157" s="36" t="inlineStr">
        <is>
          <t>Reporting</t>
        </is>
      </c>
      <c r="H157" s="36" t="inlineStr">
        <is>
          <t>€6 billion</t>
        </is>
      </c>
      <c r="I157" s="37" t="n">
        <v>7100</v>
      </c>
    </row>
    <row r="158">
      <c r="A158" s="23" t="n">
        <v>153</v>
      </c>
      <c r="B158" s="16" t="inlineStr">
        <is>
          <t>Steinhoff International (South Africa)</t>
        </is>
      </c>
      <c r="C158" s="16" t="inlineStr">
        <is>
          <t>South Africa</t>
        </is>
      </c>
      <c r="D158" s="23" t="n">
        <v>2017</v>
      </c>
      <c r="E158" s="16" t="inlineStr">
        <is>
          <t>Accounting Fraud</t>
        </is>
      </c>
      <c r="F158" s="16" t="inlineStr">
        <is>
          <t>Operational Risk</t>
        </is>
      </c>
      <c r="G158" s="16" t="inlineStr">
        <is>
          <t>Reporting</t>
        </is>
      </c>
      <c r="H158" s="16" t="inlineStr">
        <is>
          <t>$7.4 billion</t>
        </is>
      </c>
      <c r="I158" s="34" t="n">
        <v>7400</v>
      </c>
    </row>
    <row r="159">
      <c r="A159" s="35" t="n">
        <v>154</v>
      </c>
      <c r="B159" s="36" t="inlineStr">
        <is>
          <t>Swedbank (Sweden)</t>
        </is>
      </c>
      <c r="C159" s="36" t="inlineStr">
        <is>
          <t>Sweden</t>
        </is>
      </c>
      <c r="D159" s="35" t="n">
        <v>2019</v>
      </c>
      <c r="E159" s="36" t="inlineStr">
        <is>
          <t>Money Laundering</t>
        </is>
      </c>
      <c r="F159" s="36" t="inlineStr">
        <is>
          <t>Operational Risk</t>
        </is>
      </c>
      <c r="G159" s="36" t="inlineStr">
        <is>
          <t>Compliance</t>
        </is>
      </c>
      <c r="H159" s="36" t="inlineStr">
        <is>
          <t>SEK 4 billion</t>
        </is>
      </c>
      <c r="I159" s="37" t="n">
        <v>440</v>
      </c>
    </row>
    <row r="160">
      <c r="A160" s="23" t="n">
        <v>155</v>
      </c>
      <c r="B160" s="16" t="inlineStr">
        <is>
          <t>Tatfondbank (Russia)</t>
        </is>
      </c>
      <c r="C160" s="16" t="inlineStr">
        <is>
          <t>Russia</t>
        </is>
      </c>
      <c r="D160" s="23" t="n">
        <v>2017</v>
      </c>
      <c r="E160" s="16" t="inlineStr">
        <is>
          <t>Misappropriation of Funds</t>
        </is>
      </c>
      <c r="F160" s="16" t="inlineStr">
        <is>
          <t>Operational Risk</t>
        </is>
      </c>
      <c r="G160" s="16" t="inlineStr">
        <is>
          <t>Operations</t>
        </is>
      </c>
      <c r="H160" s="16" t="inlineStr">
        <is>
          <t>RUB 97 billion</t>
        </is>
      </c>
      <c r="I160" s="34" t="n">
        <v>1300</v>
      </c>
    </row>
    <row r="161">
      <c r="A161" s="35" t="n">
        <v>156</v>
      </c>
      <c r="B161" s="36" t="inlineStr">
        <is>
          <t>Tesco Bank (UK)</t>
        </is>
      </c>
      <c r="C161" s="36" t="inlineStr">
        <is>
          <t>United Kingdom</t>
        </is>
      </c>
      <c r="D161" s="35" t="n">
        <v>2016</v>
      </c>
      <c r="E161" s="36" t="inlineStr">
        <is>
          <t>Cyber Attack leading to account balance theft</t>
        </is>
      </c>
      <c r="F161" s="36" t="inlineStr">
        <is>
          <t>Operational Risk</t>
        </is>
      </c>
      <c r="G161" s="36" t="inlineStr">
        <is>
          <t>Operations</t>
        </is>
      </c>
      <c r="H161" s="36" t="inlineStr">
        <is>
          <t>£2.5 million</t>
        </is>
      </c>
      <c r="I161" s="37" t="n">
        <v>3.4</v>
      </c>
    </row>
    <row r="162">
      <c r="A162" s="23" t="n">
        <v>157</v>
      </c>
      <c r="B162" s="16" t="inlineStr">
        <is>
          <t>Toshiba (Japan)</t>
        </is>
      </c>
      <c r="C162" s="16" t="inlineStr">
        <is>
          <t>Japan</t>
        </is>
      </c>
      <c r="D162" s="23" t="n">
        <v>2015</v>
      </c>
      <c r="E162" s="16" t="inlineStr">
        <is>
          <t>Accounting Fraud</t>
        </is>
      </c>
      <c r="F162" s="16" t="inlineStr">
        <is>
          <t>Operational Risk</t>
        </is>
      </c>
      <c r="G162" s="16" t="inlineStr">
        <is>
          <t>Reporting</t>
        </is>
      </c>
      <c r="H162" s="16" t="inlineStr">
        <is>
          <t>$1.2 billion</t>
        </is>
      </c>
      <c r="I162" s="34" t="n">
        <v>1200</v>
      </c>
    </row>
    <row r="163">
      <c r="A163" s="35" t="n">
        <v>158</v>
      </c>
      <c r="B163" s="36" t="inlineStr">
        <is>
          <t>Tyco International</t>
        </is>
      </c>
      <c r="C163" s="36" t="inlineStr">
        <is>
          <t>United States</t>
        </is>
      </c>
      <c r="D163" s="35" t="n">
        <v>2002</v>
      </c>
      <c r="E163" s="36" t="inlineStr">
        <is>
          <t>Financial Fraud by Executives</t>
        </is>
      </c>
      <c r="F163" s="36" t="inlineStr">
        <is>
          <t>Operational Risk</t>
        </is>
      </c>
      <c r="G163" s="36" t="inlineStr">
        <is>
          <t>Operations</t>
        </is>
      </c>
      <c r="H163" s="36" t="inlineStr">
        <is>
          <t>$3.2 billion</t>
        </is>
      </c>
      <c r="I163" s="37" t="n">
        <v>3200</v>
      </c>
    </row>
    <row r="164">
      <c r="A164" s="23" t="n">
        <v>159</v>
      </c>
      <c r="B164" s="16" t="inlineStr">
        <is>
          <t>UBS (Switzerland)</t>
        </is>
      </c>
      <c r="C164" s="16" t="inlineStr">
        <is>
          <t>Switzerland</t>
        </is>
      </c>
      <c r="D164" s="23" t="n">
        <v>2008</v>
      </c>
      <c r="E164" s="16" t="inlineStr">
        <is>
          <t>Overexposure to Subprime Mortgages</t>
        </is>
      </c>
      <c r="F164" s="16" t="inlineStr">
        <is>
          <t>Credit Risk</t>
        </is>
      </c>
      <c r="G164" s="16" t="inlineStr">
        <is>
          <t>Strategic</t>
        </is>
      </c>
      <c r="H164" s="16" t="inlineStr">
        <is>
          <t>$37.4 billion</t>
        </is>
      </c>
      <c r="I164" s="34" t="n">
        <v>37400</v>
      </c>
    </row>
    <row r="165">
      <c r="A165" s="35" t="n">
        <v>160</v>
      </c>
      <c r="B165" s="36" t="inlineStr">
        <is>
          <t>UBS (Switzerland)</t>
        </is>
      </c>
      <c r="C165" s="36" t="inlineStr">
        <is>
          <t>Switzerland</t>
        </is>
      </c>
      <c r="D165" s="35" t="n">
        <v>2008</v>
      </c>
      <c r="E165" s="36" t="inlineStr">
        <is>
          <t>Overexposure to Subprime Mortgage Market leading to insolvency</t>
        </is>
      </c>
      <c r="F165" s="36" t="inlineStr">
        <is>
          <t>Credit Risk</t>
        </is>
      </c>
      <c r="G165" s="36" t="inlineStr">
        <is>
          <t>Strategic</t>
        </is>
      </c>
      <c r="H165" s="36" t="inlineStr">
        <is>
          <t>$21.34 billion</t>
        </is>
      </c>
      <c r="I165" s="37" t="n">
        <v>21300</v>
      </c>
    </row>
    <row r="166">
      <c r="A166" s="23" t="n">
        <v>161</v>
      </c>
      <c r="B166" s="16" t="inlineStr">
        <is>
          <t>UBS (Switzerland)</t>
        </is>
      </c>
      <c r="C166" s="16" t="inlineStr">
        <is>
          <t>Switzerland</t>
        </is>
      </c>
      <c r="D166" s="23" t="n">
        <v>2011</v>
      </c>
      <c r="E166" s="16" t="inlineStr">
        <is>
          <t>Unauthorized Trading</t>
        </is>
      </c>
      <c r="F166" s="16" t="inlineStr">
        <is>
          <t>Market Risk</t>
        </is>
      </c>
      <c r="G166" s="16" t="inlineStr">
        <is>
          <t>Operations</t>
        </is>
      </c>
      <c r="H166" s="16" t="inlineStr">
        <is>
          <t>$2.3 billion</t>
        </is>
      </c>
      <c r="I166" s="34" t="n">
        <v>2300</v>
      </c>
    </row>
    <row r="167">
      <c r="A167" s="35" t="n">
        <v>162</v>
      </c>
      <c r="B167" s="36" t="inlineStr">
        <is>
          <t>UBS (Switzerland)</t>
        </is>
      </c>
      <c r="C167" s="36" t="inlineStr">
        <is>
          <t>Switzerland</t>
        </is>
      </c>
      <c r="D167" s="35" t="n">
        <v>2013</v>
      </c>
      <c r="E167" s="36" t="inlineStr">
        <is>
          <t>Unauthorized Trading</t>
        </is>
      </c>
      <c r="F167" s="36" t="inlineStr">
        <is>
          <t>Market Risk</t>
        </is>
      </c>
      <c r="G167" s="36" t="inlineStr">
        <is>
          <t>Operations</t>
        </is>
      </c>
      <c r="H167" s="36" t="inlineStr">
        <is>
          <t>CHF 2.2 billion</t>
        </is>
      </c>
      <c r="I167" s="37" t="n">
        <v>2400</v>
      </c>
    </row>
    <row r="168">
      <c r="A168" s="23" t="n">
        <v>163</v>
      </c>
      <c r="B168" s="16" t="inlineStr">
        <is>
          <t>UBS (Switzerland)</t>
        </is>
      </c>
      <c r="C168" s="16" t="inlineStr">
        <is>
          <t>Switzerland</t>
        </is>
      </c>
      <c r="D168" s="23" t="n">
        <v>2019</v>
      </c>
      <c r="E168" s="16" t="inlineStr">
        <is>
          <t>Tax Evasion</t>
        </is>
      </c>
      <c r="F168" s="16" t="inlineStr">
        <is>
          <t>Conduct Risk</t>
        </is>
      </c>
      <c r="G168" s="16" t="inlineStr">
        <is>
          <t>Compliance</t>
        </is>
      </c>
      <c r="H168" s="16" t="inlineStr">
        <is>
          <t>€4.5 billion</t>
        </is>
      </c>
      <c r="I168" s="34" t="n">
        <v>5300</v>
      </c>
    </row>
    <row r="169">
      <c r="A169" s="35" t="n">
        <v>164</v>
      </c>
      <c r="B169" s="36" t="inlineStr">
        <is>
          <t>UBS AG (Switzerland)</t>
        </is>
      </c>
      <c r="C169" s="36" t="inlineStr">
        <is>
          <t>Switzerland</t>
        </is>
      </c>
      <c r="D169" s="35" t="n">
        <v>2012</v>
      </c>
      <c r="E169" s="36" t="inlineStr">
        <is>
          <t>Unauthorized Trading</t>
        </is>
      </c>
      <c r="F169" s="36" t="inlineStr">
        <is>
          <t>Market Risk</t>
        </is>
      </c>
      <c r="G169" s="36" t="inlineStr">
        <is>
          <t>Operations</t>
        </is>
      </c>
      <c r="H169" s="36" t="inlineStr">
        <is>
          <t>$2.3 billion</t>
        </is>
      </c>
      <c r="I169" s="37" t="n">
        <v>2300</v>
      </c>
    </row>
    <row r="170">
      <c r="A170" s="23" t="n">
        <v>165</v>
      </c>
      <c r="B170" s="16" t="inlineStr">
        <is>
          <t>UniCredit (Italy)</t>
        </is>
      </c>
      <c r="C170" s="16" t="inlineStr">
        <is>
          <t>Italy</t>
        </is>
      </c>
      <c r="D170" s="23" t="n">
        <v>2008</v>
      </c>
      <c r="E170" s="16" t="inlineStr">
        <is>
          <t>Overexposure to Subprime Mortgages</t>
        </is>
      </c>
      <c r="F170" s="16" t="inlineStr">
        <is>
          <t>Credit Risk</t>
        </is>
      </c>
      <c r="G170" s="16" t="inlineStr">
        <is>
          <t>Strategic</t>
        </is>
      </c>
      <c r="H170" s="16" t="inlineStr">
        <is>
          <t>$19.2 billion</t>
        </is>
      </c>
      <c r="I170" s="34" t="n">
        <v>19200</v>
      </c>
    </row>
    <row r="171">
      <c r="A171" s="35" t="n">
        <v>166</v>
      </c>
      <c r="B171" s="36" t="inlineStr">
        <is>
          <t>VBS Mutual Bank (South Africa)</t>
        </is>
      </c>
      <c r="C171" s="36" t="inlineStr">
        <is>
          <t>South Africa</t>
        </is>
      </c>
      <c r="D171" s="35" t="n">
        <v>2018</v>
      </c>
      <c r="E171" s="36" t="inlineStr">
        <is>
          <t>Looting and Fraud</t>
        </is>
      </c>
      <c r="F171" s="36" t="inlineStr">
        <is>
          <t>Operational Risk</t>
        </is>
      </c>
      <c r="G171" s="36" t="inlineStr">
        <is>
          <t>Operations</t>
        </is>
      </c>
      <c r="H171" s="36" t="inlineStr">
        <is>
          <t>R2 billion</t>
        </is>
      </c>
      <c r="I171" s="37" t="n">
        <v>120</v>
      </c>
    </row>
    <row r="172">
      <c r="A172" s="23" t="n">
        <v>167</v>
      </c>
      <c r="B172" s="16" t="inlineStr">
        <is>
          <t>Veneto Banca (Italy)</t>
        </is>
      </c>
      <c r="C172" s="16" t="inlineStr">
        <is>
          <t>Italy</t>
        </is>
      </c>
      <c r="D172" s="23" t="n">
        <v>2017</v>
      </c>
      <c r="E172" s="16" t="inlineStr">
        <is>
          <t>Fraud and Mismanagement</t>
        </is>
      </c>
      <c r="F172" s="16" t="inlineStr">
        <is>
          <t>Operational Risk</t>
        </is>
      </c>
      <c r="G172" s="16" t="inlineStr">
        <is>
          <t>Reporting</t>
        </is>
      </c>
      <c r="H172" s="16" t="inlineStr">
        <is>
          <t>€10 billion</t>
        </is>
      </c>
      <c r="I172" s="34" t="n">
        <v>11800</v>
      </c>
    </row>
    <row r="173">
      <c r="A173" s="35" t="n">
        <v>168</v>
      </c>
      <c r="B173" s="36" t="inlineStr">
        <is>
          <t>Visa (US)</t>
        </is>
      </c>
      <c r="C173" s="36" t="inlineStr">
        <is>
          <t>United States</t>
        </is>
      </c>
      <c r="D173" s="35" t="n">
        <v>2019</v>
      </c>
      <c r="E173" s="36" t="inlineStr">
        <is>
          <t>System Failure leading to transaction disruptions</t>
        </is>
      </c>
      <c r="F173" s="36" t="inlineStr">
        <is>
          <t>Operational Risk</t>
        </is>
      </c>
      <c r="G173" s="36" t="inlineStr">
        <is>
          <t>Operations</t>
        </is>
      </c>
      <c r="H173" s="36" t="inlineStr">
        <is>
          <t>$1.2 billion</t>
        </is>
      </c>
      <c r="I173" s="37" t="n">
        <v>1200</v>
      </c>
    </row>
    <row r="174">
      <c r="A174" s="23" t="n">
        <v>169</v>
      </c>
      <c r="B174" s="16" t="inlineStr">
        <is>
          <t>Vivendi</t>
        </is>
      </c>
      <c r="C174" s="16" t="inlineStr">
        <is>
          <t>France</t>
        </is>
      </c>
      <c r="D174" s="23" t="n">
        <v>2002</v>
      </c>
      <c r="E174" s="16" t="inlineStr">
        <is>
          <t>Accounting Fraud</t>
        </is>
      </c>
      <c r="F174" s="16" t="inlineStr">
        <is>
          <t>Operational Risk</t>
        </is>
      </c>
      <c r="G174" s="16" t="inlineStr">
        <is>
          <t>Reporting</t>
        </is>
      </c>
      <c r="H174" s="16" t="inlineStr">
        <is>
          <t>€3.1 billion</t>
        </is>
      </c>
      <c r="I174" s="34" t="n">
        <v>3700</v>
      </c>
    </row>
    <row r="175">
      <c r="A175" s="35" t="n">
        <v>170</v>
      </c>
      <c r="B175" s="36" t="inlineStr">
        <is>
          <t>Wachovia (US)</t>
        </is>
      </c>
      <c r="C175" s="36" t="inlineStr">
        <is>
          <t>United States</t>
        </is>
      </c>
      <c r="D175" s="35" t="n">
        <v>2008</v>
      </c>
      <c r="E175" s="36" t="inlineStr">
        <is>
          <t>Overexposure to Subprime Mortgage Market leading to insolvency</t>
        </is>
      </c>
      <c r="F175" s="36" t="inlineStr">
        <is>
          <t>Credit Risk</t>
        </is>
      </c>
      <c r="G175" s="36" t="inlineStr">
        <is>
          <t>Strategic</t>
        </is>
      </c>
      <c r="H175" s="36" t="inlineStr">
        <is>
          <t>$25 billion</t>
        </is>
      </c>
      <c r="I175" s="37" t="n">
        <v>25000</v>
      </c>
    </row>
    <row r="176">
      <c r="A176" s="23" t="n">
        <v>171</v>
      </c>
      <c r="B176" s="16" t="inlineStr">
        <is>
          <t>Washington Mutual</t>
        </is>
      </c>
      <c r="C176" s="16" t="inlineStr">
        <is>
          <t>United States</t>
        </is>
      </c>
      <c r="D176" s="23" t="n">
        <v>2008</v>
      </c>
      <c r="E176" s="16" t="inlineStr">
        <is>
          <t>Overexposure to Mortgage Lending</t>
        </is>
      </c>
      <c r="F176" s="16" t="inlineStr">
        <is>
          <t>Credit Risk</t>
        </is>
      </c>
      <c r="G176" s="16" t="inlineStr">
        <is>
          <t>Strategic</t>
        </is>
      </c>
      <c r="H176" s="16" t="inlineStr">
        <is>
          <t>$31.8 billion</t>
        </is>
      </c>
      <c r="I176" s="34" t="n">
        <v>31800</v>
      </c>
    </row>
    <row r="177">
      <c r="A177" s="35" t="n">
        <v>172</v>
      </c>
      <c r="B177" s="36" t="inlineStr">
        <is>
          <t>Washington Mutual (US)</t>
        </is>
      </c>
      <c r="C177" s="36" t="inlineStr">
        <is>
          <t>United States</t>
        </is>
      </c>
      <c r="D177" s="35" t="n">
        <v>2008</v>
      </c>
      <c r="E177" s="36" t="inlineStr">
        <is>
          <t>Overexposure to Subprime Mortgage Market leading to insolvency</t>
        </is>
      </c>
      <c r="F177" s="36" t="inlineStr">
        <is>
          <t>Credit Risk</t>
        </is>
      </c>
      <c r="G177" s="36" t="inlineStr">
        <is>
          <t>Strategic</t>
        </is>
      </c>
      <c r="H177" s="36" t="inlineStr">
        <is>
          <t>$16.7 billion</t>
        </is>
      </c>
      <c r="I177" s="37" t="n">
        <v>16700</v>
      </c>
    </row>
    <row r="178">
      <c r="A178" s="23" t="n">
        <v>173</v>
      </c>
      <c r="B178" s="16" t="inlineStr">
        <is>
          <t>Wells Fargo (US)</t>
        </is>
      </c>
      <c r="C178" s="16" t="inlineStr">
        <is>
          <t>United States</t>
        </is>
      </c>
      <c r="D178" s="23" t="n">
        <v>2016</v>
      </c>
      <c r="E178" s="16" t="inlineStr">
        <is>
          <t>Fake Accounts Scandal</t>
        </is>
      </c>
      <c r="F178" s="16" t="inlineStr">
        <is>
          <t>Conduct Risk</t>
        </is>
      </c>
      <c r="G178" s="16" t="inlineStr">
        <is>
          <t>Operations</t>
        </is>
      </c>
      <c r="H178" s="16" t="inlineStr">
        <is>
          <t>$3 billion</t>
        </is>
      </c>
      <c r="I178" s="34" t="n">
        <v>3000</v>
      </c>
    </row>
    <row r="179">
      <c r="A179" s="35" t="n">
        <v>174</v>
      </c>
      <c r="B179" s="36" t="inlineStr">
        <is>
          <t>WestLB (Germany)</t>
        </is>
      </c>
      <c r="C179" s="36" t="inlineStr">
        <is>
          <t>Germany</t>
        </is>
      </c>
      <c r="D179" s="35" t="n">
        <v>2008</v>
      </c>
      <c r="E179" s="36" t="inlineStr">
        <is>
          <t>Overexposure to Subprime Mortgages</t>
        </is>
      </c>
      <c r="F179" s="36" t="inlineStr">
        <is>
          <t>Credit Risk</t>
        </is>
      </c>
      <c r="G179" s="36" t="inlineStr">
        <is>
          <t>Strategic</t>
        </is>
      </c>
      <c r="H179" s="36" t="inlineStr">
        <is>
          <t>€3 billion</t>
        </is>
      </c>
      <c r="I179" s="37" t="n">
        <v>3500</v>
      </c>
    </row>
    <row r="180">
      <c r="A180" s="23" t="n">
        <v>175</v>
      </c>
      <c r="B180" s="16" t="inlineStr">
        <is>
          <t>WestLB (Germany)</t>
        </is>
      </c>
      <c r="C180" s="16" t="inlineStr">
        <is>
          <t>Germany</t>
        </is>
      </c>
      <c r="D180" s="23" t="n">
        <v>2012</v>
      </c>
      <c r="E180" s="16" t="inlineStr">
        <is>
          <t>Structured Investment Vehicle failure leading to insolvency</t>
        </is>
      </c>
      <c r="F180" s="16" t="inlineStr">
        <is>
          <t>Liquidity Risk</t>
        </is>
      </c>
      <c r="G180" s="16" t="inlineStr">
        <is>
          <t>Strategic</t>
        </is>
      </c>
      <c r="H180" s="16" t="inlineStr">
        <is>
          <t>€18 billion</t>
        </is>
      </c>
      <c r="I180" s="34" t="n">
        <v>21200</v>
      </c>
    </row>
    <row r="181">
      <c r="A181" s="35" t="n">
        <v>176</v>
      </c>
      <c r="B181" s="36" t="inlineStr">
        <is>
          <t>Westpac (Australia)</t>
        </is>
      </c>
      <c r="C181" s="36" t="inlineStr">
        <is>
          <t>Australia</t>
        </is>
      </c>
      <c r="D181" s="35" t="n">
        <v>2019</v>
      </c>
      <c r="E181" s="36" t="inlineStr">
        <is>
          <t>Money Laundering and Child Exploitation Scandal</t>
        </is>
      </c>
      <c r="F181" s="36" t="inlineStr">
        <is>
          <t>Operational Risk</t>
        </is>
      </c>
      <c r="G181" s="36" t="inlineStr">
        <is>
          <t>Compliance</t>
        </is>
      </c>
      <c r="H181" s="36" t="inlineStr">
        <is>
          <t>AUD 1.3 billion</t>
        </is>
      </c>
      <c r="I181" s="37" t="n">
        <v>936</v>
      </c>
    </row>
    <row r="182">
      <c r="A182" s="23" t="n">
        <v>177</v>
      </c>
      <c r="B182" s="16" t="inlineStr">
        <is>
          <t>Wirecard (Germany)</t>
        </is>
      </c>
      <c r="C182" s="16" t="inlineStr">
        <is>
          <t>Germany</t>
        </is>
      </c>
      <c r="D182" s="23" t="n">
        <v>2020</v>
      </c>
      <c r="E182" s="16" t="inlineStr">
        <is>
          <t>Accounting Fraud</t>
        </is>
      </c>
      <c r="F182" s="16" t="inlineStr">
        <is>
          <t>Operational Risk</t>
        </is>
      </c>
      <c r="G182" s="16" t="inlineStr">
        <is>
          <t>Reporting</t>
        </is>
      </c>
      <c r="H182" s="16" t="inlineStr">
        <is>
          <t>€1.9 billion</t>
        </is>
      </c>
      <c r="I182" s="34" t="n">
        <v>2200</v>
      </c>
    </row>
    <row r="183">
      <c r="A183" s="35" t="n">
        <v>178</v>
      </c>
      <c r="B183" s="36" t="inlineStr">
        <is>
          <t>WorldCom</t>
        </is>
      </c>
      <c r="C183" s="36" t="inlineStr">
        <is>
          <t>United States</t>
        </is>
      </c>
      <c r="D183" s="35" t="n">
        <v>2002</v>
      </c>
      <c r="E183" s="36" t="inlineStr">
        <is>
          <t>Accounting Fraud</t>
        </is>
      </c>
      <c r="F183" s="36" t="inlineStr">
        <is>
          <t>Operational Risk</t>
        </is>
      </c>
      <c r="G183" s="36" t="inlineStr">
        <is>
          <t>Reporting</t>
        </is>
      </c>
      <c r="H183" s="36" t="inlineStr">
        <is>
          <t>$180 billion</t>
        </is>
      </c>
      <c r="I183" s="37" t="n">
        <v>180000</v>
      </c>
    </row>
    <row r="184">
      <c r="A184" s="23" t="n">
        <v>179</v>
      </c>
      <c r="B184" s="16" t="inlineStr">
        <is>
          <t>Yes Bank (India)</t>
        </is>
      </c>
      <c r="C184" s="16" t="inlineStr">
        <is>
          <t>India</t>
        </is>
      </c>
      <c r="D184" s="23" t="n">
        <v>2020</v>
      </c>
      <c r="E184" s="16" t="inlineStr">
        <is>
          <t>Overexposure to Infrastructure Loans</t>
        </is>
      </c>
      <c r="F184" s="16" t="inlineStr">
        <is>
          <t>Credit Risk</t>
        </is>
      </c>
      <c r="G184" s="16" t="inlineStr">
        <is>
          <t>Strategic</t>
        </is>
      </c>
      <c r="H184" s="16" t="inlineStr">
        <is>
          <t>$2 billion</t>
        </is>
      </c>
      <c r="I184" s="34" t="n">
        <v>2000</v>
      </c>
    </row>
  </sheetData>
  <autoFilter ref="A5:I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2026-02-13T14:00:14Z</dcterms:created>
  <dcterms:modified xmlns:dcterms="http://purl.org/dc/terms/" xmlns:xsi="http://www.w3.org/2001/XMLSchema-instance" xsi:type="dcterms:W3CDTF">2026-02-13T14:00:14Z</dcterms:modified>
</cp:coreProperties>
</file>